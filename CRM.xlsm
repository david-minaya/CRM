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830" codeName="{861861EC-F77C-3E69-5087-FD670AB338C4}"/>
  <workbookPr codeName="ThisWorkbook" defaultThemeVersion="166925"/>
  <mc:AlternateContent xmlns:mc="http://schemas.openxmlformats.org/markup-compatibility/2006">
    <mc:Choice Requires="x15">
      <x15ac:absPath xmlns:x15ac="http://schemas.microsoft.com/office/spreadsheetml/2010/11/ac" url="C:\Users\USER\OneDrive\Documents\CRM\"/>
    </mc:Choice>
  </mc:AlternateContent>
  <bookViews>
    <workbookView xWindow="0" yWindow="0" windowWidth="20490" windowHeight="8115" tabRatio="730" firstSheet="4" activeTab="5"/>
  </bookViews>
  <sheets>
    <sheet name="24 de Abril 2017" sheetId="2" r:id="rId1"/>
    <sheet name="25 de Abril 2017" sheetId="3" r:id="rId2"/>
    <sheet name="26 de abril 2017" sheetId="4" r:id="rId3"/>
    <sheet name="27 de Abril 2017" sheetId="5" r:id="rId4"/>
    <sheet name="28 de Abril 2017" sheetId="6" r:id="rId5"/>
    <sheet name="Hoja1" sheetId="7" r:id="rId6"/>
  </sheets>
  <calcPr calcId="162913"/>
</workbook>
</file>

<file path=xl/calcChain.xml><?xml version="1.0" encoding="utf-8"?>
<calcChain xmlns="http://schemas.openxmlformats.org/spreadsheetml/2006/main">
  <c r="E26" i="2" l="1"/>
  <c r="H24" i="6"/>
  <c r="G20" i="6"/>
  <c r="E20" i="6"/>
  <c r="H22" i="6"/>
  <c r="O25" i="6"/>
  <c r="H20" i="6"/>
  <c r="G24" i="6"/>
  <c r="F24" i="6"/>
  <c r="E24" i="6"/>
  <c r="D24" i="6"/>
  <c r="C24" i="6"/>
  <c r="B24" i="6"/>
  <c r="G22" i="6"/>
  <c r="F22" i="6"/>
  <c r="E22" i="6"/>
  <c r="D22" i="6"/>
  <c r="C22" i="6"/>
  <c r="B22" i="6"/>
  <c r="N25" i="6"/>
  <c r="N24" i="6" s="1"/>
  <c r="N23" i="6" s="1"/>
  <c r="N22" i="6" s="1"/>
  <c r="N21" i="6" s="1"/>
  <c r="N20" i="6" s="1"/>
  <c r="N19" i="6" s="1"/>
  <c r="N18" i="6" s="1"/>
  <c r="N17" i="6" s="1"/>
  <c r="N16" i="6" s="1"/>
  <c r="N15" i="6" s="1"/>
  <c r="N14" i="6" s="1"/>
  <c r="N13" i="6" s="1"/>
  <c r="N12" i="6" s="1"/>
  <c r="N11" i="6" s="1"/>
  <c r="N10" i="6" s="1"/>
  <c r="N9" i="6" s="1"/>
  <c r="N8" i="6" s="1"/>
  <c r="N7" i="6" s="1"/>
  <c r="N6" i="6" s="1"/>
  <c r="N5" i="6" s="1"/>
  <c r="N4" i="6" s="1"/>
  <c r="N3" i="6" s="1"/>
  <c r="N2" i="6" s="1"/>
  <c r="M25" i="6"/>
  <c r="M24" i="6" s="1"/>
  <c r="M23" i="6" s="1"/>
  <c r="M22" i="6" s="1"/>
  <c r="M21" i="6" s="1"/>
  <c r="M20" i="6" s="1"/>
  <c r="M19" i="6" s="1"/>
  <c r="M18" i="6" s="1"/>
  <c r="M17" i="6" s="1"/>
  <c r="M16" i="6" s="1"/>
  <c r="M15" i="6" s="1"/>
  <c r="M14" i="6" s="1"/>
  <c r="M13" i="6" s="1"/>
  <c r="M12" i="6" s="1"/>
  <c r="M11" i="6" s="1"/>
  <c r="M10" i="6" s="1"/>
  <c r="M9" i="6" s="1"/>
  <c r="M8" i="6" s="1"/>
  <c r="M7" i="6" s="1"/>
  <c r="M6" i="6" s="1"/>
  <c r="M5" i="6" s="1"/>
  <c r="M4" i="6" s="1"/>
  <c r="M3" i="6" s="1"/>
  <c r="M2" i="6" s="1"/>
  <c r="F20" i="6"/>
  <c r="L25" i="6"/>
  <c r="L24" i="6" s="1"/>
  <c r="L23" i="6" s="1"/>
  <c r="L22" i="6" s="1"/>
  <c r="L21" i="6" s="1"/>
  <c r="L20" i="6" s="1"/>
  <c r="L19" i="6" s="1"/>
  <c r="L18" i="6" s="1"/>
  <c r="L17" i="6" s="1"/>
  <c r="L16" i="6" s="1"/>
  <c r="L15" i="6" s="1"/>
  <c r="L14" i="6" s="1"/>
  <c r="L13" i="6" s="1"/>
  <c r="L12" i="6" s="1"/>
  <c r="L11" i="6" s="1"/>
  <c r="L10" i="6" s="1"/>
  <c r="L9" i="6" s="1"/>
  <c r="L8" i="6" s="1"/>
  <c r="L7" i="6" s="1"/>
  <c r="L6" i="6" s="1"/>
  <c r="L5" i="6" s="1"/>
  <c r="L4" i="6" s="1"/>
  <c r="L3" i="6" s="1"/>
  <c r="L2" i="6" s="1"/>
  <c r="K25" i="6"/>
  <c r="K24" i="6"/>
  <c r="K23" i="6" s="1"/>
  <c r="K22" i="6" s="1"/>
  <c r="K21" i="6" s="1"/>
  <c r="K20" i="6" s="1"/>
  <c r="K19" i="6" s="1"/>
  <c r="K18" i="6" s="1"/>
  <c r="K17" i="6" s="1"/>
  <c r="K16" i="6" s="1"/>
  <c r="K15" i="6" s="1"/>
  <c r="K14" i="6" s="1"/>
  <c r="K13" i="6" s="1"/>
  <c r="K12" i="6" s="1"/>
  <c r="K11" i="6" s="1"/>
  <c r="K10" i="6" s="1"/>
  <c r="K9" i="6" s="1"/>
  <c r="K8" i="6" s="1"/>
  <c r="K7" i="6" s="1"/>
  <c r="K6" i="6" s="1"/>
  <c r="K5" i="6" s="1"/>
  <c r="K4" i="6" s="1"/>
  <c r="K3" i="6" s="1"/>
  <c r="K2" i="6" s="1"/>
  <c r="D20" i="6"/>
  <c r="J25" i="6"/>
  <c r="J24" i="6" s="1"/>
  <c r="J23" i="6" s="1"/>
  <c r="J22" i="6" s="1"/>
  <c r="J21" i="6" s="1"/>
  <c r="J20" i="6" s="1"/>
  <c r="J19" i="6" s="1"/>
  <c r="J18" i="6" s="1"/>
  <c r="J17" i="6" s="1"/>
  <c r="J16" i="6" s="1"/>
  <c r="J15" i="6" s="1"/>
  <c r="J14" i="6" s="1"/>
  <c r="J13" i="6" s="1"/>
  <c r="J12" i="6" s="1"/>
  <c r="J11" i="6" s="1"/>
  <c r="J10" i="6" s="1"/>
  <c r="J9" i="6" s="1"/>
  <c r="J8" i="6" s="1"/>
  <c r="J7" i="6" s="1"/>
  <c r="J6" i="6" s="1"/>
  <c r="J5" i="6" s="1"/>
  <c r="J4" i="6" s="1"/>
  <c r="J3" i="6" s="1"/>
  <c r="J2" i="6" s="1"/>
  <c r="C20" i="6"/>
  <c r="I25" i="6"/>
  <c r="I24" i="6" s="1"/>
  <c r="I23" i="6" s="1"/>
  <c r="I22" i="6" s="1"/>
  <c r="I21" i="6" s="1"/>
  <c r="I20" i="6" s="1"/>
  <c r="I19" i="6" s="1"/>
  <c r="I18" i="6" s="1"/>
  <c r="I17" i="6" s="1"/>
  <c r="I16" i="6" s="1"/>
  <c r="I15" i="6" s="1"/>
  <c r="I14" i="6" s="1"/>
  <c r="I13" i="6" s="1"/>
  <c r="I12" i="6" s="1"/>
  <c r="I11" i="6" s="1"/>
  <c r="I10" i="6" s="1"/>
  <c r="I9" i="6" s="1"/>
  <c r="I8" i="6" s="1"/>
  <c r="I7" i="6" s="1"/>
  <c r="I6" i="6" s="1"/>
  <c r="I5" i="6" s="1"/>
  <c r="I4" i="6" s="1"/>
  <c r="I3" i="6" s="1"/>
  <c r="I2" i="6" s="1"/>
  <c r="B20" i="6"/>
  <c r="B26" i="5"/>
  <c r="O24" i="6"/>
  <c r="O23" i="6" s="1"/>
  <c r="O22" i="6" s="1"/>
  <c r="O21" i="6" s="1"/>
  <c r="O20" i="6" s="1"/>
  <c r="O19" i="6" s="1"/>
  <c r="O18" i="6" s="1"/>
  <c r="O17" i="6" s="1"/>
  <c r="O16" i="6" s="1"/>
  <c r="O15" i="6" s="1"/>
  <c r="O14" i="6" s="1"/>
  <c r="O13" i="6" s="1"/>
  <c r="O12" i="6" s="1"/>
  <c r="O11" i="6" s="1"/>
  <c r="O10" i="6" s="1"/>
  <c r="O9" i="6" s="1"/>
  <c r="O8" i="6" s="1"/>
  <c r="O7" i="6" s="1"/>
  <c r="O6" i="6" s="1"/>
  <c r="O5" i="6" s="1"/>
  <c r="O4" i="6" s="1"/>
  <c r="O3" i="6" s="1"/>
  <c r="O2" i="6" s="1"/>
  <c r="G26" i="2"/>
  <c r="B28" i="2"/>
  <c r="C29" i="2"/>
  <c r="C28" i="2" s="1"/>
  <c r="D28" i="2"/>
  <c r="B26" i="2"/>
  <c r="E24" i="3"/>
  <c r="D26" i="2"/>
  <c r="C26" i="2"/>
  <c r="F26" i="2"/>
  <c r="C30" i="2"/>
  <c r="I24" i="3"/>
  <c r="J24" i="3"/>
  <c r="G24" i="3"/>
  <c r="E30" i="2"/>
  <c r="G30" i="2"/>
  <c r="F26" i="3"/>
  <c r="G26" i="3"/>
  <c r="I28" i="4"/>
  <c r="H28" i="4"/>
  <c r="B24" i="5"/>
  <c r="C24" i="5"/>
  <c r="J28" i="5"/>
  <c r="I28" i="5"/>
  <c r="H28" i="5"/>
  <c r="G28" i="5"/>
  <c r="F28" i="5"/>
  <c r="E28" i="5"/>
  <c r="D28" i="5"/>
  <c r="C28" i="5"/>
  <c r="B28" i="5"/>
  <c r="J26" i="5"/>
  <c r="I26" i="5"/>
  <c r="H26" i="5"/>
  <c r="G26" i="5"/>
  <c r="F26" i="5"/>
  <c r="E26" i="5"/>
  <c r="D26" i="5"/>
  <c r="C26" i="5"/>
  <c r="J24" i="5"/>
  <c r="I24" i="5"/>
  <c r="H24" i="5"/>
  <c r="G24" i="5"/>
  <c r="F24" i="5"/>
  <c r="E24" i="5"/>
  <c r="D24" i="5"/>
  <c r="F24" i="3"/>
  <c r="B24" i="4"/>
  <c r="B28" i="4"/>
  <c r="J28" i="4"/>
  <c r="G28" i="4"/>
  <c r="F28" i="4"/>
  <c r="E28" i="4"/>
  <c r="D28" i="4"/>
  <c r="C28" i="4"/>
  <c r="J26" i="4"/>
  <c r="I26" i="4"/>
  <c r="H26" i="4"/>
  <c r="G26" i="4"/>
  <c r="F26" i="4"/>
  <c r="E26" i="4"/>
  <c r="D26" i="4"/>
  <c r="C26" i="4"/>
  <c r="B26" i="4"/>
  <c r="J28" i="3"/>
  <c r="I28" i="3"/>
  <c r="H28" i="3"/>
  <c r="G28" i="3"/>
  <c r="F28" i="3"/>
  <c r="E28" i="3"/>
  <c r="D28" i="3"/>
  <c r="C28" i="3"/>
  <c r="B28" i="3"/>
  <c r="J26" i="3"/>
  <c r="I26" i="3"/>
  <c r="H26" i="3"/>
  <c r="E26" i="3"/>
  <c r="D26" i="3"/>
  <c r="C26" i="3"/>
  <c r="B26" i="3"/>
  <c r="J30" i="2"/>
  <c r="I30" i="2"/>
  <c r="H30" i="2"/>
  <c r="F30" i="2"/>
  <c r="D30" i="2"/>
  <c r="B30" i="2"/>
  <c r="J28" i="2"/>
  <c r="I28" i="2"/>
  <c r="H28" i="2"/>
  <c r="G28" i="2"/>
  <c r="F28" i="2"/>
  <c r="E28" i="2"/>
  <c r="D24" i="4"/>
  <c r="K24" i="4"/>
  <c r="J24" i="4"/>
  <c r="I24" i="4"/>
  <c r="H24" i="4"/>
  <c r="G24" i="4"/>
  <c r="F24" i="4"/>
  <c r="E24" i="4"/>
  <c r="C24" i="4"/>
  <c r="B24" i="3"/>
  <c r="C24" i="3"/>
  <c r="D24" i="3"/>
  <c r="H24" i="3"/>
  <c r="J26" i="2"/>
  <c r="I26" i="2"/>
  <c r="H26" i="2"/>
</calcChain>
</file>

<file path=xl/sharedStrings.xml><?xml version="1.0" encoding="utf-8"?>
<sst xmlns="http://schemas.openxmlformats.org/spreadsheetml/2006/main" count="1044" uniqueCount="440">
  <si>
    <t>id</t>
  </si>
  <si>
    <t>l:396918584026007</t>
  </si>
  <si>
    <t>l:396916314026234</t>
  </si>
  <si>
    <t>l:396886394029226</t>
  </si>
  <si>
    <t>l:396884217362777</t>
  </si>
  <si>
    <t>l:396871074030758</t>
  </si>
  <si>
    <t>l:396713060713226</t>
  </si>
  <si>
    <t>l:396708664046999</t>
  </si>
  <si>
    <t>l:396634180721114</t>
  </si>
  <si>
    <t>l:396615210723011</t>
  </si>
  <si>
    <t>Columna1</t>
  </si>
  <si>
    <t>Columna2</t>
  </si>
  <si>
    <t>Columna3</t>
  </si>
  <si>
    <t>Columna4</t>
  </si>
  <si>
    <t>Columna5</t>
  </si>
  <si>
    <t>Columna6</t>
  </si>
  <si>
    <t>Columna7</t>
  </si>
  <si>
    <t>Columna8</t>
  </si>
  <si>
    <t>Columna9</t>
  </si>
  <si>
    <t>Columna10</t>
  </si>
  <si>
    <t>Columna11</t>
  </si>
  <si>
    <t>ad_id</t>
  </si>
  <si>
    <t>ag:23842579793980633</t>
  </si>
  <si>
    <t>ad_name</t>
  </si>
  <si>
    <t>Venta de Recargas - Generación de clientes potenciales</t>
  </si>
  <si>
    <t>adset_id</t>
  </si>
  <si>
    <t>as:23842579793860633</t>
  </si>
  <si>
    <t>adset_name</t>
  </si>
  <si>
    <t>Captación de prospectos Disashop en la Linea Noroeste del 19/04/2017 al 04/05/2017</t>
  </si>
  <si>
    <t>campaign_id</t>
  </si>
  <si>
    <t>c:23842579793810633</t>
  </si>
  <si>
    <t>campaign_name</t>
  </si>
  <si>
    <t>Clientes potenciales Disashop</t>
  </si>
  <si>
    <t>form_id</t>
  </si>
  <si>
    <t>f:394826987568500</t>
  </si>
  <si>
    <t>form_name</t>
  </si>
  <si>
    <t>Formularios anuncio Disashop</t>
  </si>
  <si>
    <t>is_organic</t>
  </si>
  <si>
    <t>false</t>
  </si>
  <si>
    <t>nombre_completo</t>
  </si>
  <si>
    <t>Anibal Gonsalez</t>
  </si>
  <si>
    <t>Juancarlos Jimenes</t>
  </si>
  <si>
    <t>Licda Anny Terrero Ramirez</t>
  </si>
  <si>
    <t>Fianyeli Ivelisse</t>
  </si>
  <si>
    <t>Mario Nelsy Martinez</t>
  </si>
  <si>
    <t>Luis Rodriguez</t>
  </si>
  <si>
    <t>Leonelas Parede Hidalgo</t>
  </si>
  <si>
    <t>mally Maricel Ozoria</t>
  </si>
  <si>
    <t>Yudelka Ortiz</t>
  </si>
  <si>
    <t>Probando control de verciones</t>
  </si>
  <si>
    <t>nombre_del_negocio</t>
  </si>
  <si>
    <t>Jose anibal comunicaciones (tienda de celulares)</t>
  </si>
  <si>
    <t>Compucenter</t>
  </si>
  <si>
    <t>De arianny y laurianny fantasía y más</t>
  </si>
  <si>
    <t>Claro Perú</t>
  </si>
  <si>
    <t>no tiene</t>
  </si>
  <si>
    <t>Facebook</t>
  </si>
  <si>
    <t>Digital Bible</t>
  </si>
  <si>
    <t>2do intento</t>
  </si>
  <si>
    <t>telefono_del_trabajo</t>
  </si>
  <si>
    <t>+1(809) 443-9005</t>
  </si>
  <si>
    <t>+1(809) 698-5829</t>
  </si>
  <si>
    <t>+1(809) 613-8705</t>
  </si>
  <si>
    <t>+1(829) 918-5276</t>
  </si>
  <si>
    <t>+1(829) 558-2623</t>
  </si>
  <si>
    <t>+1(809) 981-7814</t>
  </si>
  <si>
    <t>+1(829) 454-5077</t>
  </si>
  <si>
    <t>+1(829) 492-7969</t>
  </si>
  <si>
    <t>3er intento</t>
  </si>
  <si>
    <t>whatsApp</t>
  </si>
  <si>
    <t>829-918-5276</t>
  </si>
  <si>
    <t>4to intento</t>
  </si>
  <si>
    <t>email</t>
  </si>
  <si>
    <t>klasico53@gmail.com</t>
  </si>
  <si>
    <t>elkacol_2002@hotmail.com</t>
  </si>
  <si>
    <t>annyterrero21@hotmail.com</t>
  </si>
  <si>
    <t>fianyeliysamuel@hotmail.com</t>
  </si>
  <si>
    <t>marionelsymartinez@gmail.com</t>
  </si>
  <si>
    <t>play_20boy@hotmail.com</t>
  </si>
  <si>
    <t>lanega008@gmail.com</t>
  </si>
  <si>
    <t>maricell051@hotmail.com</t>
  </si>
  <si>
    <t>la_yudih@hotmail.com</t>
  </si>
  <si>
    <t>5to intento</t>
  </si>
  <si>
    <t>direccion</t>
  </si>
  <si>
    <t>bario obrero  calle maxima gomez esquina con properidad en sima de la iglecia nueva adulan</t>
  </si>
  <si>
    <t>16 de agosto</t>
  </si>
  <si>
    <t>salome ureña #23</t>
  </si>
  <si>
    <t>pueblo</t>
  </si>
  <si>
    <t>monte plata municipio.yamasa los botado</t>
  </si>
  <si>
    <t>Los montones abajo San José de las Matas</t>
  </si>
  <si>
    <t>los abreu</t>
  </si>
  <si>
    <t>calle principal manolo tavares justo (navarrete)</t>
  </si>
  <si>
    <t>banegas villagonzalez</t>
  </si>
  <si>
    <t>6to intento</t>
  </si>
  <si>
    <t>ciudad</t>
  </si>
  <si>
    <t>Santiago de los Caballeros</t>
  </si>
  <si>
    <t>Mao</t>
  </si>
  <si>
    <t>Oviedo</t>
  </si>
  <si>
    <t>San Francisco de Macorís</t>
  </si>
  <si>
    <t>santo domingo</t>
  </si>
  <si>
    <t>San Francisco</t>
  </si>
  <si>
    <t>provincia</t>
  </si>
  <si>
    <t>santiago</t>
  </si>
  <si>
    <t>valverde</t>
  </si>
  <si>
    <t>pedernales</t>
  </si>
  <si>
    <t>duarte</t>
  </si>
  <si>
    <t>provincia monte plata</t>
  </si>
  <si>
    <t>Santiago</t>
  </si>
  <si>
    <t>san francisco de macoris</t>
  </si>
  <si>
    <t>Cedula</t>
  </si>
  <si>
    <t>036-0043873-7</t>
  </si>
  <si>
    <t>Datos adicionales</t>
  </si>
  <si>
    <t>IMEI: 014 451 007 420 705</t>
  </si>
  <si>
    <t>sistema</t>
  </si>
  <si>
    <t>app_disashop_</t>
  </si>
  <si>
    <t>disashop_pc</t>
  </si>
  <si>
    <t>Fecha</t>
  </si>
  <si>
    <t>2017-04-23T21:37:31-04:00</t>
  </si>
  <si>
    <t>2017-04-23T21:28:40-04:00</t>
  </si>
  <si>
    <t>2017-04-23T19:57:23-04:00</t>
  </si>
  <si>
    <t>2017-04-23T19:43:26-04:00</t>
  </si>
  <si>
    <t>2017-04-23T18:42:59-04:00</t>
  </si>
  <si>
    <t>2017-04-23T13:41:15-04:00</t>
  </si>
  <si>
    <t>2017-04-23T13:25:21-04:00</t>
  </si>
  <si>
    <t>2017-04-23T10:20:07-04:00</t>
  </si>
  <si>
    <t>2017-04-23T09:37:37-04:00</t>
  </si>
  <si>
    <t>mensaje_(opcional)</t>
  </si>
  <si>
    <t>me interesa poner recarga en mi negocio</t>
  </si>
  <si>
    <t>siempre</t>
  </si>
  <si>
    <t>me interesa vender recargas</t>
  </si>
  <si>
    <t>sii</t>
  </si>
  <si>
    <t>como las ponen las rescarga</t>
  </si>
  <si>
    <t>Quiero vender tarjeta</t>
  </si>
  <si>
    <t>vender recarga orange</t>
  </si>
  <si>
    <t>erick yunior</t>
  </si>
  <si>
    <t>me intetesa vender recarga</t>
  </si>
  <si>
    <t>Notas</t>
  </si>
  <si>
    <t>`-El cliente vendia recargas en el año 2011.  ` -Contactado por Whastapp</t>
  </si>
  <si>
    <r>
      <rPr>
        <sz val="9"/>
        <color theme="0" tint="-0.34998626667073579"/>
        <rFont val="Calibri"/>
        <family val="2"/>
        <scheme val="minor"/>
      </rPr>
      <t xml:space="preserve">Lunes 24 abril 2017. </t>
    </r>
    <r>
      <rPr>
        <sz val="11"/>
        <color theme="1"/>
        <rFont val="Calibri"/>
        <family val="2"/>
        <scheme val="minor"/>
      </rPr>
      <t>El cliente no tiene negocio y al explicarle que las recargas no son rentables para personas este cambio de opinio y decidio pensarlo.</t>
    </r>
  </si>
  <si>
    <r>
      <rPr>
        <sz val="8"/>
        <color theme="0" tint="-0.34998626667073579"/>
        <rFont val="Calibri"/>
        <family val="2"/>
        <scheme val="minor"/>
      </rPr>
      <t>Lunes 24 abril 2017</t>
    </r>
    <r>
      <rPr>
        <sz val="10"/>
        <color theme="1"/>
        <rFont val="Calibri"/>
        <family val="2"/>
        <scheme val="minor"/>
      </rPr>
      <t>. La  cliente mostro interes por el celular android de la empresa. Ella quedo en hablar con su esposo antes de tomar la decicion. Ella quedo en contactarme en un rato para decirme si le interesa o no *</t>
    </r>
  </si>
  <si>
    <t>Contacto:
WhatsApp…</t>
  </si>
  <si>
    <t>El cliente no tiene negocio, pero aun sabiendo el margen de ganancia que le dejaria la recarga, a este le interesa. EL quedo en hablar con su esposa para luego decirme si continuara con la instalacion.</t>
  </si>
  <si>
    <t>el cliente realizo el deposito esta tarde por el banco de Reservas de un monto de 3,000 pesos. Este tiene como referncia "Luis Rodriguez". Numero de documento del deposito: 242 163 858.</t>
  </si>
  <si>
    <t>Seguimiento 1</t>
  </si>
  <si>
    <t>Seguimiento 2</t>
  </si>
  <si>
    <t>Seguimiento 3</t>
  </si>
  <si>
    <t>l:397429477308251</t>
  </si>
  <si>
    <t>l:397408943976971</t>
  </si>
  <si>
    <t>l:397348450649687</t>
  </si>
  <si>
    <t>l:397340317317167</t>
  </si>
  <si>
    <t>l:397287630655769</t>
  </si>
  <si>
    <t>l:397210963996769</t>
  </si>
  <si>
    <t>l:397082640676268</t>
  </si>
  <si>
    <t>l:397014210683111</t>
  </si>
  <si>
    <t>l:396958400688692</t>
  </si>
  <si>
    <t>created_time</t>
  </si>
  <si>
    <t>2017-04-24T23:35:03-04:00</t>
  </si>
  <si>
    <t>2017-04-24T22:44:52-04:00</t>
  </si>
  <si>
    <t>2017-04-24T19:33:59-04:00</t>
  </si>
  <si>
    <t>2017-04-24T19:12:29-04:00</t>
  </si>
  <si>
    <t>2017-04-24T15:53:00-04:00</t>
  </si>
  <si>
    <t>2017-04-24T12:26:44-04:00</t>
  </si>
  <si>
    <t>2017-04-24T07:34:34-04:00</t>
  </si>
  <si>
    <t>2017-04-24T03:29:17-04:00</t>
  </si>
  <si>
    <t>2017-04-24T00:08:31-04:00</t>
  </si>
  <si>
    <t>Lic Vinicio Cruz</t>
  </si>
  <si>
    <t>Juan Reinoso Peña</t>
  </si>
  <si>
    <t>Nicolas Tejada Cabrera</t>
  </si>
  <si>
    <t>Derwin Rodríguez</t>
  </si>
  <si>
    <t>Yuleisy Marte Polanco</t>
  </si>
  <si>
    <t>Viviana D de la Cruz</t>
  </si>
  <si>
    <t>Ruddy Reynoso</t>
  </si>
  <si>
    <t>Tuh Peluche Marte</t>
  </si>
  <si>
    <t>Yamilka Reynoso Velasquez</t>
  </si>
  <si>
    <t>CRIOLLA 106.1 FM</t>
  </si>
  <si>
    <t>none</t>
  </si>
  <si>
    <t>personal</t>
  </si>
  <si>
    <t>Los Gomez</t>
  </si>
  <si>
    <t>casa</t>
  </si>
  <si>
    <t>Trabajo Por Cuenta Propia</t>
  </si>
  <si>
    <t>Musicalisimo</t>
  </si>
  <si>
    <t>McDonald's</t>
  </si>
  <si>
    <t>829-261-2878</t>
  </si>
  <si>
    <t>seria mas racil y mas util</t>
  </si>
  <si>
    <t>+1(809) 886-9160</t>
  </si>
  <si>
    <t>+1(829) 792-3970</t>
  </si>
  <si>
    <t>+1(809) 719-6528</t>
  </si>
  <si>
    <t>+1(829) 261-2879</t>
  </si>
  <si>
    <t>+1(809) 459-6586</t>
  </si>
  <si>
    <t>+1(809) 360-0768</t>
  </si>
  <si>
    <t>+1(829) 657-0631</t>
  </si>
  <si>
    <t>+1(809) 670-2210</t>
  </si>
  <si>
    <t>+1(829) 479-0868</t>
  </si>
  <si>
    <t>viniciopublicidad2006@hotmail.com</t>
  </si>
  <si>
    <t>juanreinoso2011@live.com</t>
  </si>
  <si>
    <t>jose-tejada24@hotmail.com</t>
  </si>
  <si>
    <t>derwigomez99@gamil.com</t>
  </si>
  <si>
    <t>yuleika_2007@hotmail.com</t>
  </si>
  <si>
    <t>markisnairoby@gmail.com</t>
  </si>
  <si>
    <t>elsiervodedios_02@hotmail.com</t>
  </si>
  <si>
    <t>saiyayin931@gmail.com</t>
  </si>
  <si>
    <t>denissereynoso@hotmail.es</t>
  </si>
  <si>
    <t>C/3 #5; Ingenio Arriba, Santiago RD.</t>
  </si>
  <si>
    <t>c/ celestino cerda #33 harollo hondo arriba</t>
  </si>
  <si>
    <t>#2</t>
  </si>
  <si>
    <t>republicas dominicanas</t>
  </si>
  <si>
    <t>ensanche la rotonda calle2#5</t>
  </si>
  <si>
    <t>me interesa</t>
  </si>
  <si>
    <t>calle 21 casa 27 el ejido</t>
  </si>
  <si>
    <t>santiago buenos aires</t>
  </si>
  <si>
    <t>calle 5 num 24 de la union 2da ingenio arriba</t>
  </si>
  <si>
    <t>santiago de los caballero</t>
  </si>
  <si>
    <t>santiago de los caballeros</t>
  </si>
  <si>
    <t>santiago de lo caballero</t>
  </si>
  <si>
    <t>vender recarga</t>
  </si>
  <si>
    <t>hola kiero vendre recargas via mi androit</t>
  </si>
  <si>
    <t>no tengo empresa</t>
  </si>
  <si>
    <t>me gustaria tener el sistema de rescarga en mi negocio</t>
  </si>
  <si>
    <t>Deseo vender recargas pero es en casa</t>
  </si>
  <si>
    <t>me in</t>
  </si>
  <si>
    <t>yo kiero vende recarga</t>
  </si>
  <si>
    <t>para dar mejor servicio ya que trabajo en una empresa</t>
  </si>
  <si>
    <t>quiero inicial a vender recarga</t>
  </si>
  <si>
    <t>Nota</t>
  </si>
  <si>
    <t>EL cliente solicito el sistema para una persona que tiene una cafeteria, pero esa persona ya no quiere el servicio.</t>
  </si>
  <si>
    <t>Contectado por chat de Facebook.     El cliente vendia recargas antes, dejo de venderlas porque su probeedor no tenia balance cada vez que el la solicitaba.</t>
  </si>
  <si>
    <t>l:397866583931207</t>
  </si>
  <si>
    <t>l:397831970601335</t>
  </si>
  <si>
    <t>l:397830200601512</t>
  </si>
  <si>
    <t>l:397779257273273</t>
  </si>
  <si>
    <t>l:397765220608010</t>
  </si>
  <si>
    <t>l:397763133941552</t>
  </si>
  <si>
    <t>l:397756550608877</t>
  </si>
  <si>
    <t>l:397701673947698</t>
  </si>
  <si>
    <t>l:397622643955601</t>
  </si>
  <si>
    <t>l:397602483957617</t>
  </si>
  <si>
    <t>2017-04-25T22:57:38-04:00</t>
  </si>
  <si>
    <t>2017-04-25T20:19:52-04:00</t>
  </si>
  <si>
    <t>2017-04-25T20:09:15-04:00</t>
  </si>
  <si>
    <t>2017-04-25T16:25:57-04:00</t>
  </si>
  <si>
    <t>2017-04-25T15:35:59-04:00</t>
  </si>
  <si>
    <t>2017-04-25T15:26:22-04:00</t>
  </si>
  <si>
    <t>2017-04-25T15:00:25-04:00</t>
  </si>
  <si>
    <t>2017-04-25T12:36:41-04:00</t>
  </si>
  <si>
    <t>2017-04-25T09:33:17-04:00</t>
  </si>
  <si>
    <t>2017-04-25T08:39:48-04:00</t>
  </si>
  <si>
    <t>Domingo Parra</t>
  </si>
  <si>
    <t>Randy Mofi</t>
  </si>
  <si>
    <t>Claritza Gonzalez</t>
  </si>
  <si>
    <t>Jose Angel Mencia</t>
  </si>
  <si>
    <t>Edinso Colon</t>
  </si>
  <si>
    <t>willy Antonio Jiménez Rodríguez</t>
  </si>
  <si>
    <t>Jose Emilio Nunez</t>
  </si>
  <si>
    <t>Ruth Jimenez</t>
  </si>
  <si>
    <t>Randy Rodríguez</t>
  </si>
  <si>
    <t>Fausto Abel Fleuri Carrasco</t>
  </si>
  <si>
    <t>Randy Cell</t>
  </si>
  <si>
    <t>clary</t>
  </si>
  <si>
    <t>mencia rent a car</t>
  </si>
  <si>
    <t>Nada Evita Que Piense En Ti</t>
  </si>
  <si>
    <t>paredes Rivas &amp;asociados</t>
  </si>
  <si>
    <t>Tropicana 106.3 FM Montecristi</t>
  </si>
  <si>
    <t>tenico en servicio rodriguez</t>
  </si>
  <si>
    <t>cardisa</t>
  </si>
  <si>
    <t>+1(849) 918-9969</t>
  </si>
  <si>
    <t>+1(809) 575-8101</t>
  </si>
  <si>
    <t>+1(829) 280-4276</t>
  </si>
  <si>
    <t>+1(829) 505-5200</t>
  </si>
  <si>
    <t>+1(809) 998-4021</t>
  </si>
  <si>
    <t>+1(829) 674-9150</t>
  </si>
  <si>
    <t>+1(829) 252-9518</t>
  </si>
  <si>
    <t>+1(809) 664-7193</t>
  </si>
  <si>
    <t>+1(809) 907-1154</t>
  </si>
  <si>
    <t>809 998 4021</t>
  </si>
  <si>
    <t>829 252 9518</t>
  </si>
  <si>
    <t>mz442@hotmail.com</t>
  </si>
  <si>
    <t>randy_garcias@hotmail.com</t>
  </si>
  <si>
    <t>claritzagonzalez01@hotmail.com</t>
  </si>
  <si>
    <t>joseangelmencia@gmail.com</t>
  </si>
  <si>
    <t>edinsoncolon36@gtmail.col</t>
  </si>
  <si>
    <t>anddy092@hotmail.com</t>
  </si>
  <si>
    <t>tropicana106.3@hotmail.com</t>
  </si>
  <si>
    <t>jimenezruth808@gmail.com</t>
  </si>
  <si>
    <t>nicolas_ungido@hotmail.com</t>
  </si>
  <si>
    <t>estoyaquiabel@hotmail.com</t>
  </si>
  <si>
    <t>canbolla marilopez calle2 #47</t>
  </si>
  <si>
    <t>calle 16 #9 Los ciruelito</t>
  </si>
  <si>
    <t>las caobas</t>
  </si>
  <si>
    <t>calle javier Álvarez edif a4 apto 1b</t>
  </si>
  <si>
    <t>rsesivir estado</t>
  </si>
  <si>
    <t>los Reyes Santiago</t>
  </si>
  <si>
    <t>barrio bueno Aires</t>
  </si>
  <si>
    <t>el ejido calle 12 numero 14</t>
  </si>
  <si>
    <t>jacagua santiago</t>
  </si>
  <si>
    <t>altos de rafey</t>
  </si>
  <si>
    <t>Jamao al Morte</t>
  </si>
  <si>
    <t>El Copey</t>
  </si>
  <si>
    <t>La Canela</t>
  </si>
  <si>
    <t>San Fernando de Monte Cristi</t>
  </si>
  <si>
    <t>santiagos</t>
  </si>
  <si>
    <t>moca</t>
  </si>
  <si>
    <t>Puerto plata</t>
  </si>
  <si>
    <t>montecristy</t>
  </si>
  <si>
    <t>marcos</t>
  </si>
  <si>
    <t>quiero vender recarga</t>
  </si>
  <si>
    <t>me seria muy util el servicio tanto en mi negocio como en el sector donde vivo</t>
  </si>
  <si>
    <t>como resivir el sistema</t>
  </si>
  <si>
    <t>kiero vender recargar</t>
  </si>
  <si>
    <t>quiero tener más ingresos</t>
  </si>
  <si>
    <t>me gustaria vender recarga quisiera saber como puedo hacerlo</t>
  </si>
  <si>
    <t>quiero el cel andrio ya k no tengo andrio</t>
  </si>
  <si>
    <t>nota lo necesito para el colmado de mi prina esta ubicado en altos de rafey colm.fran</t>
  </si>
  <si>
    <t>l:398354683882397</t>
  </si>
  <si>
    <t>l:398266337224565</t>
  </si>
  <si>
    <t>l:398245867226612</t>
  </si>
  <si>
    <t>l:398160880568444</t>
  </si>
  <si>
    <t>l:398160787235120</t>
  </si>
  <si>
    <t>l:398129697238229</t>
  </si>
  <si>
    <t>l:398112577239941</t>
  </si>
  <si>
    <t>l:398023493915516</t>
  </si>
  <si>
    <t>l:398005413917324</t>
  </si>
  <si>
    <t>2017-04-26T23:21:35-04:00</t>
  </si>
  <si>
    <t>2017-04-26T16:29:20-04:00</t>
  </si>
  <si>
    <t>2017-04-26T15:19:46-04:00</t>
  </si>
  <si>
    <t>2017-04-26T12:31:05-04:00</t>
  </si>
  <si>
    <t>2017-04-26T12:30:45-04:00</t>
  </si>
  <si>
    <t>2017-04-26T11:26:26-04:00</t>
  </si>
  <si>
    <t>2017-04-26T10:53:55-04:00</t>
  </si>
  <si>
    <t>2017-04-26T06:06:47-04:00</t>
  </si>
  <si>
    <t>2017-04-26T05:16:34-04:00</t>
  </si>
  <si>
    <t>Erideivi Piña Ramirez</t>
  </si>
  <si>
    <t>Nelson Ramon Villalona ureña</t>
  </si>
  <si>
    <t>Nathanael Delarosa Vicioso</t>
  </si>
  <si>
    <t>Robert Rodriguez</t>
  </si>
  <si>
    <t>Julio Voltio Guzman</t>
  </si>
  <si>
    <t>Clari Galan</t>
  </si>
  <si>
    <t>Edwin Reyes</t>
  </si>
  <si>
    <t>Fabian Cabrera</t>
  </si>
  <si>
    <t>Genao María</t>
  </si>
  <si>
    <t>Golden International Supply</t>
  </si>
  <si>
    <t>General Cigar Company</t>
  </si>
  <si>
    <t>nathanael</t>
  </si>
  <si>
    <t>credifacil</t>
  </si>
  <si>
    <t>motoconcno</t>
  </si>
  <si>
    <t>privada</t>
  </si>
  <si>
    <t>swisher dominicana</t>
  </si>
  <si>
    <t>+1(829) 679-3003</t>
  </si>
  <si>
    <t>+1(809) 226-2455</t>
  </si>
  <si>
    <t>+1(809) 931-5795</t>
  </si>
  <si>
    <t>+1(829) 741-1062</t>
  </si>
  <si>
    <t>+1(829) 653-6901</t>
  </si>
  <si>
    <t>+1(809) 212-1537</t>
  </si>
  <si>
    <t>+1(809) 727-6478</t>
  </si>
  <si>
    <t>829 679 3003</t>
  </si>
  <si>
    <t>kiero saber si es k pagar primero para vender recarga</t>
  </si>
  <si>
    <t>epina@golden.com</t>
  </si>
  <si>
    <t>nvillalonaurn@hotmail.com</t>
  </si>
  <si>
    <t>dominicanisimo30051991@gmail.com</t>
  </si>
  <si>
    <t>robert05ro@hotmail.com</t>
  </si>
  <si>
    <t>julio.voltio2009@hotmail.com</t>
  </si>
  <si>
    <t>clairy-2010@hotmail.com</t>
  </si>
  <si>
    <t>edwin_reyes_21@hotmail.com</t>
  </si>
  <si>
    <t>the-demente15@hotmail.com</t>
  </si>
  <si>
    <t>maria1098.mv@gmail.com</t>
  </si>
  <si>
    <t>Pekín</t>
  </si>
  <si>
    <t>calle celetino cerda #6 harrollo hondo arriba</t>
  </si>
  <si>
    <t>sanjuan dela maguana</t>
  </si>
  <si>
    <t>calle buena vista</t>
  </si>
  <si>
    <t>k es hacer para eso</t>
  </si>
  <si>
    <t>Maimon Bonao</t>
  </si>
  <si>
    <t>vendedor</t>
  </si>
  <si>
    <t>las lavas villa gonzales</t>
  </si>
  <si>
    <t>El Túnel, Cañada Bonita</t>
  </si>
  <si>
    <t>sanjuan</t>
  </si>
  <si>
    <t>loma de cabrera</t>
  </si>
  <si>
    <t>maimon</t>
  </si>
  <si>
    <t>Villa Bisonó, Navarrete</t>
  </si>
  <si>
    <t>dajabon</t>
  </si>
  <si>
    <t>monseñor noel</t>
  </si>
  <si>
    <t>recarga</t>
  </si>
  <si>
    <t>estoy comensando un negocio</t>
  </si>
  <si>
    <t>soy taxita de uber y todas las noches monto muchss personas que quieren recargs creo que es un buen publico</t>
  </si>
  <si>
    <t>kiero vender</t>
  </si>
  <si>
    <t>me gustaria vender recargas</t>
  </si>
  <si>
    <t>megustaria trabajar eso en casa</t>
  </si>
  <si>
    <t>quiero vender</t>
  </si>
  <si>
    <t>Columna12</t>
  </si>
  <si>
    <t>Columna13</t>
  </si>
  <si>
    <t>Columna14</t>
  </si>
  <si>
    <t>Columna15</t>
  </si>
  <si>
    <t>Pamela Marte</t>
  </si>
  <si>
    <t>Caba Abreu Favio</t>
  </si>
  <si>
    <t>Elnoturno Elnoturno Fernandez</t>
  </si>
  <si>
    <t>Iscari Krisbeilyn Rivas</t>
  </si>
  <si>
    <t>Yokasta Estevez Abreu</t>
  </si>
  <si>
    <t>Edison Santana</t>
  </si>
  <si>
    <t>M Lorenzo Daniel</t>
  </si>
  <si>
    <t>Sun Jade International Footwear Limited.</t>
  </si>
  <si>
    <t>ruta 47</t>
  </si>
  <si>
    <t>D rosario celular</t>
  </si>
  <si>
    <t>vendo ropa</t>
  </si>
  <si>
    <t>Colmado Don pablo</t>
  </si>
  <si>
    <t>Ventas en linea</t>
  </si>
  <si>
    <t>+1(849) 658-4107</t>
  </si>
  <si>
    <t>+1(829) 496-9927</t>
  </si>
  <si>
    <t>+1(809) 757-1715</t>
  </si>
  <si>
    <t>+1(829) 517-0784</t>
  </si>
  <si>
    <t>+1(809) 455-6717</t>
  </si>
  <si>
    <t>+1(809) 360-1545</t>
  </si>
  <si>
    <t>evelio</t>
  </si>
  <si>
    <t>809-250-7737</t>
  </si>
  <si>
    <t>si</t>
  </si>
  <si>
    <t>809-815-0567</t>
  </si>
  <si>
    <t>hurtadopame15@gmail.com</t>
  </si>
  <si>
    <t>evelio8666@gmail.com</t>
  </si>
  <si>
    <t>mister_danny01@hotmail.com</t>
  </si>
  <si>
    <t>krisbeilynrivas@gmail.com</t>
  </si>
  <si>
    <t>yoskaestevez@gmail.com</t>
  </si>
  <si>
    <t>esantana5@hotmail.com</t>
  </si>
  <si>
    <t>danielmedinalorenzo@gmail.com</t>
  </si>
  <si>
    <t>los rieles calle primera</t>
  </si>
  <si>
    <t>rancho viejo la penda</t>
  </si>
  <si>
    <t>Sabana iglesia calle los maestro</t>
  </si>
  <si>
    <t>calle proyecto #23</t>
  </si>
  <si>
    <t>av.estrella sadhala frente a la plaza olimpica</t>
  </si>
  <si>
    <t>santana</t>
  </si>
  <si>
    <t>cambita san cristobal</t>
  </si>
  <si>
    <t>Sabana Iglesia</t>
  </si>
  <si>
    <t>Higüey</t>
  </si>
  <si>
    <t>san cristobal</t>
  </si>
  <si>
    <t>la vega</t>
  </si>
  <si>
    <t>Santiago Province</t>
  </si>
  <si>
    <t>montecristi</t>
  </si>
  <si>
    <t>La altagracia</t>
  </si>
  <si>
    <t>adele</t>
  </si>
  <si>
    <t>Saludo necesito ese servicio</t>
  </si>
  <si>
    <t>Hola</t>
  </si>
  <si>
    <t>trabajo en una banca y el dueño no quiere poner recargas pero me la piden mucho y quisiera venderla yo desde mi celular</t>
  </si>
  <si>
    <t>me interesa una maquina que se le entra dinero para recargar</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</si>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</sst>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6"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2"/>
      <color theme="0"/>
      <name val="Calibri"/>
      <family val="2"/>
      <scheme val="minor"/>
    </font>
    <font>
      <b/>
      <sz val="12"/>
      <color theme="1"/>
      <name val="Calibri"/>
      <family val="2"/>
      <scheme val="minor"/>
    </font>
    <font>
      <sz val="10"/>
      <color theme="1"/>
      <name val="Calibri"/>
      <family val="2"/>
      <scheme val="minor"/>
    </font>
    <font>
      <u/>
      <sz val="11"/>
      <color theme="10"/>
      <name val="Calibri"/>
      <family val="2"/>
      <scheme val="minor"/>
    </font>
    <font>
      <sz val="8"/>
      <color theme="0" tint="-0.34998626667073579"/>
      <name val="Calibri"/>
      <family val="2"/>
      <scheme val="minor"/>
    </font>
    <font>
      <sz val="9"/>
      <color theme="0" tint="-0.34998626667073579"/>
      <name val="Calibri"/>
      <family val="2"/>
      <scheme val="minor"/>
    </font>
    <font>
      <sz val="12"/>
      <color theme="1"/>
      <name val="Calibri"/>
      <family val="2"/>
      <scheme val="minor"/>
    </font>
    <font>
      <sz val="10"/>
      <color theme="0"/>
      <name val="Calibri"/>
      <family val="2"/>
      <scheme val="minor"/>
    </font>
  </fonts>
  <fills count="42">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00B050"/>
        <bgColor indexed="64"/>
      </patternFill>
    </fill>
    <fill>
      <patternFill patternType="solid">
        <fgColor theme="0"/>
        <bgColor indexed="64"/>
      </patternFill>
    </fill>
    <fill>
      <patternFill patternType="solid">
        <fgColor rgb="FFFF0000"/>
        <bgColor indexed="64"/>
      </patternFill>
    </fill>
    <fill>
      <patternFill patternType="solid">
        <fgColor rgb="FFFFC000"/>
        <bgColor indexed="64"/>
      </patternFill>
    </fill>
    <fill>
      <patternFill patternType="solid">
        <fgColor theme="9" tint="0.79998168889431442"/>
        <bgColor theme="9" tint="0.79998168889431442"/>
      </patternFill>
    </fill>
    <fill>
      <patternFill patternType="solid">
        <fgColor theme="0"/>
        <bgColor theme="9" tint="0.79998168889431442"/>
      </patternFill>
    </fill>
    <fill>
      <patternFill patternType="solid">
        <fgColor theme="2" tint="-0.749992370372631"/>
        <bgColor indexed="64"/>
      </patternFill>
    </fill>
    <fill>
      <patternFill patternType="solid">
        <fgColor rgb="FF7030A0"/>
        <bgColor indexed="64"/>
      </patternFill>
    </fill>
    <fill>
      <patternFill patternType="solid">
        <fgColor rgb="FF002060"/>
        <bgColor indexed="64"/>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9"/>
      </left>
      <right style="thin">
        <color theme="9"/>
      </right>
      <top style="thin">
        <color theme="9"/>
      </top>
      <bottom style="thin">
        <color theme="9"/>
      </bottom>
      <diagonal/>
    </border>
    <border>
      <left style="thin">
        <color theme="9"/>
      </left>
      <right style="thin">
        <color theme="9"/>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21" fillId="0" borderId="0" applyNumberFormat="0" applyFill="0" applyBorder="0" applyAlignment="0" applyProtection="0"/>
  </cellStyleXfs>
  <cellXfs count="72">
    <xf numFmtId="0" fontId="0" fillId="0" borderId="0" xfId="0"/>
    <xf numFmtId="0" fontId="0" fillId="0" borderId="0" xfId="0" applyAlignment="1">
      <alignment horizontal="left"/>
    </xf>
    <xf numFmtId="0" fontId="0" fillId="0" borderId="0" xfId="0" applyAlignment="1">
      <alignment vertical="top" wrapText="1"/>
    </xf>
    <xf numFmtId="0" fontId="18" fillId="33" borderId="0" xfId="0" applyFont="1" applyFill="1"/>
    <xf numFmtId="0" fontId="18" fillId="33" borderId="0" xfId="0" applyFont="1" applyFill="1" applyAlignment="1">
      <alignment vertical="top"/>
    </xf>
    <xf numFmtId="0" fontId="18" fillId="34" borderId="0" xfId="0" applyFont="1" applyFill="1"/>
    <xf numFmtId="0" fontId="19" fillId="34" borderId="0" xfId="0" applyFont="1" applyFill="1"/>
    <xf numFmtId="0" fontId="18" fillId="33" borderId="0" xfId="0" applyFont="1" applyFill="1" applyAlignment="1">
      <alignment vertical="top" wrapText="1"/>
    </xf>
    <xf numFmtId="0" fontId="20" fillId="0" borderId="0" xfId="0" applyFont="1" applyAlignment="1">
      <alignment vertical="top" wrapText="1"/>
    </xf>
    <xf numFmtId="0" fontId="17" fillId="33" borderId="0" xfId="0" applyFont="1" applyFill="1"/>
    <xf numFmtId="0" fontId="21" fillId="0" borderId="0" xfId="42"/>
    <xf numFmtId="0" fontId="17" fillId="35" borderId="0" xfId="0" applyFont="1" applyFill="1"/>
    <xf numFmtId="0" fontId="0" fillId="0" borderId="0" xfId="0" applyAlignment="1">
      <alignment horizontal="left" wrapText="1"/>
    </xf>
    <xf numFmtId="0" fontId="0" fillId="0" borderId="0" xfId="0" applyAlignment="1">
      <alignment horizontal="left" vertical="top" wrapText="1"/>
    </xf>
    <xf numFmtId="0" fontId="18" fillId="33" borderId="0" xfId="0" applyFont="1" applyFill="1" applyAlignment="1">
      <alignment horizontal="left" wrapText="1"/>
    </xf>
    <xf numFmtId="0" fontId="0" fillId="0" borderId="0" xfId="0" applyFont="1" applyFill="1" applyAlignment="1">
      <alignment horizontal="left" wrapText="1"/>
    </xf>
    <xf numFmtId="0" fontId="18" fillId="33" borderId="0" xfId="0" applyFont="1" applyFill="1" applyAlignment="1"/>
    <xf numFmtId="0" fontId="0" fillId="0" borderId="0" xfId="0" applyAlignment="1"/>
    <xf numFmtId="0" fontId="17" fillId="33" borderId="0" xfId="0" applyFont="1" applyFill="1" applyAlignment="1">
      <alignment horizontal="left"/>
    </xf>
    <xf numFmtId="0" fontId="17" fillId="36" borderId="0" xfId="0" applyFont="1" applyFill="1"/>
    <xf numFmtId="0" fontId="17" fillId="35" borderId="0" xfId="0" applyFont="1" applyFill="1" applyAlignment="1">
      <alignment horizontal="left"/>
    </xf>
    <xf numFmtId="0" fontId="0" fillId="0" borderId="0" xfId="0" applyAlignment="1">
      <alignment horizontal="left" vertical="top"/>
    </xf>
    <xf numFmtId="0" fontId="18" fillId="33" borderId="0" xfId="0" applyFont="1" applyFill="1" applyAlignment="1">
      <alignment horizontal="left"/>
    </xf>
    <xf numFmtId="0" fontId="18" fillId="33" borderId="0" xfId="0" applyFont="1" applyFill="1" applyAlignment="1">
      <alignment horizontal="left" vertical="top"/>
    </xf>
    <xf numFmtId="0" fontId="18" fillId="33" borderId="0" xfId="0" applyFont="1" applyFill="1" applyAlignment="1">
      <alignment horizontal="left" vertical="top" wrapText="1"/>
    </xf>
    <xf numFmtId="14" fontId="0" fillId="0" borderId="0" xfId="0" applyNumberFormat="1" applyAlignment="1">
      <alignment vertical="top" wrapText="1"/>
    </xf>
    <xf numFmtId="0" fontId="0" fillId="0" borderId="0" xfId="0" applyAlignment="1">
      <alignment vertical="top"/>
    </xf>
    <xf numFmtId="0" fontId="20" fillId="0" borderId="0" xfId="0" applyFont="1" applyAlignment="1">
      <alignment vertical="top"/>
    </xf>
    <xf numFmtId="14" fontId="0" fillId="0" borderId="0" xfId="0" applyNumberFormat="1"/>
    <xf numFmtId="0" fontId="18" fillId="33" borderId="0" xfId="0" applyFont="1" applyFill="1" applyAlignment="1">
      <alignment horizontal="center" vertical="center"/>
    </xf>
    <xf numFmtId="14" fontId="0" fillId="0" borderId="0" xfId="0" applyNumberFormat="1" applyAlignment="1">
      <alignment horizontal="center" vertical="center"/>
    </xf>
    <xf numFmtId="0" fontId="0" fillId="0" borderId="0" xfId="0" applyAlignment="1">
      <alignment horizontal="center" vertical="center"/>
    </xf>
    <xf numFmtId="22" fontId="0" fillId="0" borderId="0" xfId="0" applyNumberFormat="1" applyAlignment="1">
      <alignment horizontal="center" vertical="center"/>
    </xf>
    <xf numFmtId="0" fontId="24" fillId="33" borderId="0" xfId="0" applyFont="1" applyFill="1"/>
    <xf numFmtId="0" fontId="0" fillId="33" borderId="0" xfId="0" applyFill="1"/>
    <xf numFmtId="0" fontId="0" fillId="0" borderId="0" xfId="0" applyAlignment="1">
      <alignment wrapText="1"/>
    </xf>
    <xf numFmtId="14" fontId="20" fillId="0" borderId="0" xfId="0" applyNumberFormat="1" applyFont="1" applyAlignment="1">
      <alignment vertical="top" wrapText="1"/>
    </xf>
    <xf numFmtId="0" fontId="18" fillId="33" borderId="10" xfId="0" applyFont="1" applyFill="1" applyBorder="1" applyAlignment="1">
      <alignment vertical="top" wrapText="1"/>
    </xf>
    <xf numFmtId="0" fontId="0" fillId="0" borderId="10" xfId="0" applyFont="1" applyBorder="1" applyAlignment="1">
      <alignment vertical="top" wrapText="1"/>
    </xf>
    <xf numFmtId="0" fontId="0" fillId="37" borderId="10" xfId="0" applyFont="1" applyFill="1" applyBorder="1" applyAlignment="1">
      <alignment vertical="top" wrapText="1"/>
    </xf>
    <xf numFmtId="14" fontId="0" fillId="0" borderId="10" xfId="0" applyNumberFormat="1" applyFont="1" applyBorder="1" applyAlignment="1">
      <alignment vertical="top" wrapText="1"/>
    </xf>
    <xf numFmtId="0" fontId="20" fillId="0" borderId="10" xfId="0" applyFont="1" applyBorder="1" applyAlignment="1">
      <alignment vertical="top" wrapText="1"/>
    </xf>
    <xf numFmtId="0" fontId="18" fillId="33" borderId="10" xfId="0" applyFont="1" applyFill="1" applyBorder="1"/>
    <xf numFmtId="0" fontId="0" fillId="37" borderId="10" xfId="0" applyFont="1" applyFill="1" applyBorder="1"/>
    <xf numFmtId="0" fontId="0" fillId="0" borderId="10" xfId="0" applyFont="1" applyBorder="1"/>
    <xf numFmtId="0" fontId="0" fillId="37" borderId="10" xfId="0" applyFont="1" applyFill="1" applyBorder="1" applyAlignment="1">
      <alignment horizontal="left"/>
    </xf>
    <xf numFmtId="0" fontId="18" fillId="33" borderId="10" xfId="0" applyFont="1" applyFill="1" applyBorder="1" applyAlignment="1">
      <alignment horizontal="left"/>
    </xf>
    <xf numFmtId="0" fontId="18" fillId="33" borderId="10" xfId="0" applyFont="1" applyFill="1" applyBorder="1" applyAlignment="1">
      <alignment horizontal="left" vertical="top"/>
    </xf>
    <xf numFmtId="0" fontId="0" fillId="0" borderId="10" xfId="0" applyFont="1" applyBorder="1" applyAlignment="1">
      <alignment horizontal="left" vertical="top"/>
    </xf>
    <xf numFmtId="0" fontId="18" fillId="33" borderId="10" xfId="0" applyFont="1" applyFill="1" applyBorder="1" applyAlignment="1">
      <alignment horizontal="left" vertical="top" wrapText="1"/>
    </xf>
    <xf numFmtId="0" fontId="0" fillId="0" borderId="10" xfId="0" applyFont="1" applyBorder="1" applyAlignment="1">
      <alignment horizontal="left" vertical="top" wrapText="1"/>
    </xf>
    <xf numFmtId="0" fontId="18" fillId="33" borderId="10" xfId="0" applyFont="1" applyFill="1" applyBorder="1" applyAlignment="1"/>
    <xf numFmtId="14" fontId="0" fillId="37" borderId="10" xfId="0" applyNumberFormat="1" applyFont="1" applyFill="1" applyBorder="1"/>
    <xf numFmtId="0" fontId="18" fillId="33" borderId="10" xfId="0" applyFont="1" applyFill="1" applyBorder="1" applyAlignment="1">
      <alignment wrapText="1"/>
    </xf>
    <xf numFmtId="14" fontId="0" fillId="0" borderId="10" xfId="0" applyNumberFormat="1" applyFont="1" applyBorder="1" applyAlignment="1">
      <alignment horizontal="left" vertical="top" wrapText="1"/>
    </xf>
    <xf numFmtId="0" fontId="20" fillId="0" borderId="10" xfId="0" applyFont="1" applyBorder="1" applyAlignment="1">
      <alignment horizontal="left" vertical="top" wrapText="1"/>
    </xf>
    <xf numFmtId="0" fontId="18" fillId="33" borderId="11" xfId="0" applyFont="1" applyFill="1" applyBorder="1" applyAlignment="1">
      <alignment horizontal="left" vertical="top" wrapText="1"/>
    </xf>
    <xf numFmtId="0" fontId="18" fillId="33" borderId="0" xfId="0" applyFont="1" applyFill="1" applyBorder="1" applyAlignment="1">
      <alignment horizontal="left" vertical="top" wrapText="1"/>
    </xf>
    <xf numFmtId="0" fontId="0" fillId="38" borderId="10" xfId="0" applyFont="1" applyFill="1" applyBorder="1" applyAlignment="1">
      <alignment horizontal="left"/>
    </xf>
    <xf numFmtId="0" fontId="0" fillId="38" borderId="10" xfId="0" applyFont="1" applyFill="1" applyBorder="1" applyAlignment="1">
      <alignment horizontal="left" vertical="top" wrapText="1"/>
    </xf>
    <xf numFmtId="0" fontId="0" fillId="38" borderId="10" xfId="0" applyFont="1" applyFill="1" applyBorder="1"/>
    <xf numFmtId="0" fontId="0" fillId="34" borderId="10" xfId="0" applyFont="1" applyFill="1" applyBorder="1" applyAlignment="1">
      <alignment horizontal="left" vertical="top" wrapText="1"/>
    </xf>
    <xf numFmtId="0" fontId="0" fillId="34" borderId="10" xfId="0" applyFont="1" applyFill="1" applyBorder="1"/>
    <xf numFmtId="0" fontId="17" fillId="39" borderId="0" xfId="0" applyFont="1" applyFill="1" applyAlignment="1">
      <alignment horizontal="left"/>
    </xf>
    <xf numFmtId="0" fontId="17" fillId="39" borderId="0" xfId="0" applyFont="1" applyFill="1" applyAlignment="1">
      <alignment vertical="top" wrapText="1"/>
    </xf>
    <xf numFmtId="0" fontId="25" fillId="39" borderId="10" xfId="0" applyFont="1" applyFill="1" applyBorder="1" applyAlignment="1">
      <alignment vertical="top" wrapText="1"/>
    </xf>
    <xf numFmtId="0" fontId="17" fillId="40" borderId="0" xfId="0" applyFont="1" applyFill="1"/>
    <xf numFmtId="0" fontId="17" fillId="41" borderId="0" xfId="0" applyFont="1" applyFill="1"/>
    <xf numFmtId="0" fontId="0" fillId="0" borderId="0" xfId="0" applyNumberFormat="1"/>
    <xf numFmtId="0" fontId="0" fillId="0" borderId="0" xfId="0" applyNumberFormat="1" applyAlignment="1">
      <alignment vertical="top" wrapText="1"/>
    </xf>
    <xf numFmtId="0" fontId="0" fillId="0" borderId="0" xfId="0" applyNumberFormat="1" applyAlignment="1">
      <alignment horizontal="left"/>
    </xf>
    <xf numFmtId="0" fontId="20" fillId="0" borderId="0" xfId="0" applyNumberFormat="1" applyFont="1" applyAlignment="1">
      <alignment vertical="top" wrapText="1"/>
    </xf>
  </cellXfs>
  <cellStyles count="43">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o" xfId="6" builtinId="26" customBuiltin="1"/>
    <cellStyle name="Cálculo" xfId="11" builtinId="22" customBuiltin="1"/>
    <cellStyle name="Celda de comprobación" xfId="13" builtinId="23" customBuiltin="1"/>
    <cellStyle name="Celda vinculada" xfId="12" builtinId="24" customBuiltin="1"/>
    <cellStyle name="Encabezado 1" xfId="2" builtinId="16"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2" builtinId="8"/>
    <cellStyle name="Incorrecto" xfId="7" builtinId="27" customBuiltin="1"/>
    <cellStyle name="Neutral" xfId="8" builtinId="28" customBuiltin="1"/>
    <cellStyle name="Normal" xfId="0" builtinId="0"/>
    <cellStyle name="Notas" xfId="15" builtinId="10" customBuiltin="1"/>
    <cellStyle name="Salida" xfId="10" builtinId="21" customBuiltin="1"/>
    <cellStyle name="Texto de advertencia" xfId="14" builtinId="11" customBuiltin="1"/>
    <cellStyle name="Texto explicativo" xfId="16" builtinId="53" customBuiltin="1"/>
    <cellStyle name="Título" xfId="1" builtinId="15" customBuiltin="1"/>
    <cellStyle name="Título 2" xfId="3" builtinId="17" customBuiltin="1"/>
    <cellStyle name="Título 3" xfId="4" builtinId="18" customBuiltin="1"/>
    <cellStyle name="Total" xfId="17" builtinId="25" customBuiltin="1"/>
  </cellStyles>
  <dxfs count="30">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strike val="0"/>
        <outline val="0"/>
        <shadow val="0"/>
        <u val="none"/>
        <vertAlign val="baseline"/>
        <sz val="12"/>
        <color theme="0"/>
        <name val="Calibri"/>
        <family val="2"/>
        <scheme val="minor"/>
      </font>
      <fill>
        <patternFill patternType="solid">
          <fgColor indexed="64"/>
          <bgColor rgb="FF00B050"/>
        </patternFill>
      </fill>
    </dxf>
    <dxf>
      <font>
        <b/>
        <i val="0"/>
        <color theme="0"/>
      </font>
      <fill>
        <patternFill>
          <bgColor rgb="FF00B0F0"/>
        </patternFill>
      </fill>
    </dxf>
    <dxf>
      <font>
        <b/>
        <i val="0"/>
        <color theme="0"/>
      </font>
      <fill>
        <patternFill>
          <bgColor rgb="FFFF0000"/>
        </patternFill>
      </fill>
    </dxf>
    <dxf>
      <font>
        <b/>
        <i val="0"/>
        <color theme="0"/>
      </font>
      <fill>
        <patternFill>
          <bgColor rgb="FF00B0F0"/>
        </patternFill>
      </fill>
    </dxf>
    <dxf>
      <font>
        <b/>
        <i val="0"/>
        <color theme="0"/>
      </font>
      <fill>
        <patternFill>
          <bgColor rgb="FFFF0000"/>
        </patternFill>
      </fill>
    </dxf>
    <dxf>
      <font>
        <b/>
        <i val="0"/>
        <color theme="0"/>
      </font>
      <fill>
        <patternFill>
          <bgColor rgb="FF00B0F0"/>
        </patternFill>
      </fill>
    </dxf>
    <dxf>
      <font>
        <b/>
        <i val="0"/>
        <color theme="0"/>
      </font>
      <fill>
        <patternFill>
          <bgColor rgb="FFFF0000"/>
        </patternFill>
      </fill>
    </dxf>
    <dxf>
      <font>
        <b/>
        <i val="0"/>
        <color theme="0"/>
      </font>
      <fill>
        <patternFill>
          <bgColor rgb="FF00B0F0"/>
        </patternFill>
      </fill>
    </dxf>
    <dxf>
      <font>
        <b/>
        <i val="0"/>
        <color theme="0"/>
      </font>
      <fill>
        <patternFill>
          <bgColor rgb="FFFF0000"/>
        </patternFill>
      </fill>
    </dxf>
    <dxf>
      <font>
        <b/>
        <i val="0"/>
        <color theme="0"/>
      </font>
      <fill>
        <patternFill>
          <bgColor rgb="FF00B0F0"/>
        </patternFill>
      </fill>
    </dxf>
    <dxf>
      <font>
        <b/>
        <i val="0"/>
        <color theme="0"/>
      </font>
      <fill>
        <patternFill>
          <bgColor rgb="FFFF0000"/>
        </patternFill>
      </fill>
    </dxf>
    <dxf>
      <font>
        <b/>
        <i val="0"/>
        <color theme="0"/>
      </font>
      <fill>
        <patternFill>
          <bgColor rgb="FF00B0F0"/>
        </patternFill>
      </fill>
    </dxf>
    <dxf>
      <font>
        <b/>
        <i val="0"/>
        <color theme="0"/>
      </font>
      <fill>
        <patternFill>
          <bgColor rgb="FFFF0000"/>
        </patternFill>
      </fill>
    </dxf>
    <dxf>
      <font>
        <b/>
        <strike val="0"/>
        <outline val="0"/>
        <shadow val="0"/>
        <u val="none"/>
        <vertAlign val="baseline"/>
        <sz val="12"/>
        <color theme="0"/>
        <name val="Calibri"/>
        <family val="2"/>
        <scheme val="minor"/>
      </font>
      <fill>
        <patternFill patternType="solid">
          <fgColor indexed="64"/>
          <bgColor rgb="FF00B050"/>
        </patternFill>
      </fill>
    </dxf>
    <dxf>
      <font>
        <b/>
        <i val="0"/>
        <color theme="0"/>
      </font>
      <fill>
        <patternFill>
          <bgColor rgb="FF00B0F0"/>
        </patternFill>
      </fill>
    </dxf>
    <dxf>
      <font>
        <b/>
        <i val="0"/>
        <color theme="0"/>
      </font>
      <fill>
        <patternFill>
          <bgColor rgb="FFFF0000"/>
        </patternFill>
      </fill>
    </dxf>
    <dxf>
      <font>
        <strike val="0"/>
        <outline val="0"/>
        <shadow val="0"/>
        <u val="none"/>
        <vertAlign val="baseline"/>
        <sz val="12"/>
        <name val="Calibri"/>
        <family val="2"/>
        <scheme val="minor"/>
      </font>
      <fill>
        <patternFill>
          <fgColor indexed="64"/>
          <bgColor rgb="FF00B050"/>
        </patternFill>
      </fill>
    </dxf>
    <dxf>
      <font>
        <b/>
        <i val="0"/>
        <color theme="0"/>
      </font>
      <fill>
        <patternFill>
          <bgColor rgb="FF00B0F0"/>
        </patternFill>
      </fill>
    </dxf>
    <dxf>
      <font>
        <b/>
        <i val="0"/>
        <color theme="0"/>
      </font>
      <fill>
        <patternFill>
          <bgColor rgb="FFFF0000"/>
        </patternFill>
      </fill>
    </dxf>
    <dxf>
      <alignment horizontal="center" vertical="center" textRotation="0" wrapText="0" indent="0" justifyLastLine="0" shrinkToFit="0" readingOrder="0"/>
    </dxf>
    <dxf>
      <font>
        <b/>
        <i val="0"/>
        <strike val="0"/>
        <condense val="0"/>
        <extend val="0"/>
        <outline val="0"/>
        <shadow val="0"/>
        <u val="none"/>
        <vertAlign val="baseline"/>
        <sz val="12"/>
        <color theme="0"/>
        <name val="Calibri"/>
        <family val="2"/>
        <scheme val="minor"/>
      </font>
      <fill>
        <patternFill patternType="solid">
          <fgColor indexed="64"/>
          <bgColor rgb="FF00B050"/>
        </patternFill>
      </fill>
    </dxf>
    <dxf>
      <font>
        <b/>
        <i val="0"/>
        <color theme="0"/>
      </font>
      <fill>
        <patternFill>
          <bgColor rgb="FF00B0F0"/>
        </patternFill>
      </fill>
    </dxf>
    <dxf>
      <font>
        <b/>
        <i val="0"/>
        <color theme="0"/>
      </font>
      <fill>
        <patternFill>
          <bgColor rgb="FFFF0000"/>
        </patternFill>
      </fill>
    </dxf>
  </dxfs>
  <tableStyles count="0" defaultTableStyle="TableStyleMedium2" defaultPivotStyle="PivotStyleLight16"/>
  <colors>
    <mruColors>
      <color rgb="FF66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ables/table1.xml><?xml version="1.0" encoding="utf-8"?>
<table xmlns="http://schemas.openxmlformats.org/spreadsheetml/2006/main" id="2" name="Tabla2" displayName="Tabla2" ref="A2:K31" totalsRowShown="0">
  <autoFilter ref="A2:K31"/>
  <tableColumns count="11">
    <tableColumn id="1" name="Columna1" dataDxfId="27"/>
    <tableColumn id="2" name="Columna2"/>
    <tableColumn id="3" name="Columna3"/>
    <tableColumn id="4" name="Columna4"/>
    <tableColumn id="5" name="Columna5"/>
    <tableColumn id="6" name="Columna6"/>
    <tableColumn id="7" name="Columna7"/>
    <tableColumn id="8" name="Columna8"/>
    <tableColumn id="9" name="Columna9"/>
    <tableColumn id="10" name="Columna10"/>
    <tableColumn id="11" name="Columna11" dataDxfId="26"/>
  </tableColumns>
  <tableStyleInfo name="TableStyleLight21" showFirstColumn="0" showLastColumn="0" showRowStripes="1" showColumnStripes="0"/>
</table>
</file>

<file path=xl/tables/table2.xml><?xml version="1.0" encoding="utf-8"?>
<table xmlns="http://schemas.openxmlformats.org/spreadsheetml/2006/main" id="1" name="Tabla1" displayName="Tabla1" ref="A1:J29" totalsRowShown="0">
  <autoFilter ref="A1:J29"/>
  <tableColumns count="10">
    <tableColumn id="1" name="Columna1" dataDxfId="23"/>
    <tableColumn id="2" name="Columna2"/>
    <tableColumn id="3" name="Columna3"/>
    <tableColumn id="4" name="Columna4"/>
    <tableColumn id="5" name="Columna5"/>
    <tableColumn id="6" name="Columna6"/>
    <tableColumn id="7" name="Columna7"/>
    <tableColumn id="8" name="Columna8"/>
    <tableColumn id="9" name="Columna9"/>
    <tableColumn id="10" name="Columna10"/>
  </tableColumns>
  <tableStyleInfo name="TableStyleLight21" showFirstColumn="0" showLastColumn="0" showRowStripes="1" showColumnStripes="0"/>
</table>
</file>

<file path=xl/tables/table3.xml><?xml version="1.0" encoding="utf-8"?>
<table xmlns="http://schemas.openxmlformats.org/spreadsheetml/2006/main" id="3" name="Tabla3" displayName="Tabla3" ref="A1:K29" totalsRowShown="0">
  <autoFilter ref="A1:K29"/>
  <tableColumns count="11">
    <tableColumn id="1" name="Columna1" dataDxfId="20"/>
    <tableColumn id="2" name="Columna2"/>
    <tableColumn id="3" name="Columna3"/>
    <tableColumn id="4" name="Columna4"/>
    <tableColumn id="5" name="Columna5"/>
    <tableColumn id="6" name="Columna6"/>
    <tableColumn id="7" name="Columna7"/>
    <tableColumn id="8" name="Columna8"/>
    <tableColumn id="9" name="Columna9"/>
    <tableColumn id="10" name="Columna10"/>
    <tableColumn id="11" name="Columna11"/>
  </tableColumns>
  <tableStyleInfo name="TableStyleLight21" showFirstColumn="0" showLastColumn="0" showRowStripes="1" showColumnStripes="0"/>
</table>
</file>

<file path=xl/tables/table4.xml><?xml version="1.0" encoding="utf-8"?>
<table xmlns="http://schemas.openxmlformats.org/spreadsheetml/2006/main" id="4" name="Tabla4" displayName="Tabla4" ref="A1:J29" totalsRowShown="0">
  <autoFilter ref="A1:J29"/>
  <tableColumns count="10">
    <tableColumn id="1" name="Columna1"/>
    <tableColumn id="2" name="Columna2"/>
    <tableColumn id="3" name="Columna3"/>
    <tableColumn id="4" name="Columna4"/>
    <tableColumn id="5" name="Columna5"/>
    <tableColumn id="6" name="Columna6"/>
    <tableColumn id="7" name="Columna7"/>
    <tableColumn id="8" name="Columna8"/>
    <tableColumn id="9" name="Columna9"/>
    <tableColumn id="10" name="Columna10"/>
  </tableColumns>
  <tableStyleInfo name="TableStyleLight21" showFirstColumn="0" showLastColumn="0" showRowStripes="1" showColumnStripes="0"/>
</table>
</file>

<file path=xl/tables/table5.xml><?xml version="1.0" encoding="utf-8"?>
<table xmlns="http://schemas.openxmlformats.org/spreadsheetml/2006/main" id="5" name="Tabla5" displayName="Tabla5" ref="A1:O25" totalsRowShown="0">
  <autoFilter ref="A1:O25"/>
  <tableColumns count="15">
    <tableColumn id="1" name="Columna1" dataDxfId="7"/>
    <tableColumn id="2" name="Columna2"/>
    <tableColumn id="3" name="Columna3"/>
    <tableColumn id="4" name="Columna4"/>
    <tableColumn id="5" name="Columna5"/>
    <tableColumn id="6" name="Columna6"/>
    <tableColumn id="7" name="Columna7"/>
    <tableColumn id="8" name="Columna8"/>
    <tableColumn id="9" name="Columna9" dataDxfId="6">
      <calculatedColumnFormula>IF(I3=TODAY(),
"",
IF(I3&gt;TODAY(),
"",
""))</calculatedColumnFormula>
    </tableColumn>
    <tableColumn id="10" name="Columna10" dataDxfId="5">
      <calculatedColumnFormula>IF(J3=TODAY(),
"",
IF(J3&gt;TODAY(),
"",
""))</calculatedColumnFormula>
    </tableColumn>
    <tableColumn id="11" name="Columna11" dataDxfId="4">
      <calculatedColumnFormula>IF(K3=TODAY(),
"",
IF(K3&gt;TODAY(),
"",
""))</calculatedColumnFormula>
    </tableColumn>
    <tableColumn id="12" name="Columna12" dataDxfId="3">
      <calculatedColumnFormula>IF(L3=TODAY(),
"",
IF(L3&gt;TODAY(),
"",
""))</calculatedColumnFormula>
    </tableColumn>
    <tableColumn id="13" name="Columna13" dataDxfId="2">
      <calculatedColumnFormula>IF(M3=TODAY(),
"",
IF(M3&gt;TODAY(),
"",
""))</calculatedColumnFormula>
    </tableColumn>
    <tableColumn id="14" name="Columna14" dataDxfId="1">
      <calculatedColumnFormula>IF(N3=TODAY(),
"",
IF(N3&gt;TODAY(),
"",
""))</calculatedColumnFormula>
    </tableColumn>
    <tableColumn id="15" name="Columna15" dataDxfId="0">
      <calculatedColumnFormula>IF(O3=TODAY(),
"",
IF(O3&gt;TODAY(),
"",
""))</calculatedColumnFormula>
    </tableColumn>
  </tableColumns>
  <tableStyleInfo name="TableStyleLight21"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hyperlink" Target="mailto:klasico53@gmail.com" TargetMode="Externa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K31"/>
  <sheetViews>
    <sheetView topLeftCell="A22" zoomScaleNormal="100" workbookViewId="0">
      <pane xSplit="1" topLeftCell="B1" activePane="topRight" state="frozen"/>
      <selection activeCell="A13" sqref="A13"/>
      <selection pane="topRight" activeCell="A12" sqref="A12"/>
    </sheetView>
  </sheetViews>
  <sheetFormatPr baseColWidth="10" defaultColWidth="11.42578125" defaultRowHeight="15.75" x14ac:dyDescent="0.25"/>
  <cols>
    <col min="1" max="1" width="22.42578125" style="5" customWidth="1"/>
    <col min="2" max="2" width="31.5703125" customWidth="1"/>
    <col min="3" max="11" width="29.140625" customWidth="1"/>
  </cols>
  <sheetData>
    <row r="1" spans="1:11" hidden="1" x14ac:dyDescent="0.25">
      <c r="A1" s="5" t="s">
        <v>0</v>
      </c>
      <c r="B1" t="s">
        <v>1</v>
      </c>
      <c r="C1" t="s">
        <v>2</v>
      </c>
      <c r="D1" t="s">
        <v>3</v>
      </c>
      <c r="E1" t="s">
        <v>4</v>
      </c>
      <c r="F1" t="s">
        <v>5</v>
      </c>
      <c r="G1" t="s">
        <v>6</v>
      </c>
      <c r="H1" t="s">
        <v>7</v>
      </c>
      <c r="I1" t="s">
        <v>8</v>
      </c>
      <c r="J1" t="s">
        <v>9</v>
      </c>
    </row>
    <row r="2" spans="1:11" hidden="1" x14ac:dyDescent="0.25">
      <c r="A2" s="6" t="s">
        <v>10</v>
      </c>
      <c r="B2" t="s">
        <v>11</v>
      </c>
      <c r="C2" t="s">
        <v>12</v>
      </c>
      <c r="D2" t="s">
        <v>13</v>
      </c>
      <c r="E2" t="s">
        <v>14</v>
      </c>
      <c r="F2" t="s">
        <v>15</v>
      </c>
      <c r="G2" t="s">
        <v>16</v>
      </c>
      <c r="H2" t="s">
        <v>17</v>
      </c>
      <c r="I2" t="s">
        <v>18</v>
      </c>
      <c r="J2" t="s">
        <v>19</v>
      </c>
      <c r="K2" t="s">
        <v>20</v>
      </c>
    </row>
    <row r="3" spans="1:11" hidden="1" x14ac:dyDescent="0.25">
      <c r="A3" s="3" t="s">
        <v>21</v>
      </c>
      <c r="B3" t="s">
        <v>22</v>
      </c>
      <c r="C3" t="s">
        <v>22</v>
      </c>
      <c r="D3" t="s">
        <v>22</v>
      </c>
      <c r="E3" t="s">
        <v>22</v>
      </c>
      <c r="F3" t="s">
        <v>22</v>
      </c>
      <c r="G3" t="s">
        <v>22</v>
      </c>
      <c r="H3" t="s">
        <v>22</v>
      </c>
      <c r="I3" t="s">
        <v>22</v>
      </c>
      <c r="J3" t="s">
        <v>22</v>
      </c>
    </row>
    <row r="4" spans="1:11" hidden="1" x14ac:dyDescent="0.25">
      <c r="A4" s="3" t="s">
        <v>23</v>
      </c>
      <c r="B4" t="s">
        <v>24</v>
      </c>
      <c r="C4" t="s">
        <v>24</v>
      </c>
      <c r="D4" t="s">
        <v>24</v>
      </c>
      <c r="E4" t="s">
        <v>24</v>
      </c>
      <c r="F4" t="s">
        <v>24</v>
      </c>
      <c r="G4" t="s">
        <v>24</v>
      </c>
      <c r="H4" t="s">
        <v>24</v>
      </c>
      <c r="I4" t="s">
        <v>24</v>
      </c>
      <c r="J4" t="s">
        <v>24</v>
      </c>
    </row>
    <row r="5" spans="1:11" hidden="1" x14ac:dyDescent="0.25">
      <c r="A5" s="3" t="s">
        <v>25</v>
      </c>
      <c r="B5" t="s">
        <v>26</v>
      </c>
      <c r="C5" t="s">
        <v>26</v>
      </c>
      <c r="D5" t="s">
        <v>26</v>
      </c>
      <c r="E5" t="s">
        <v>26</v>
      </c>
      <c r="F5" t="s">
        <v>26</v>
      </c>
      <c r="G5" t="s">
        <v>26</v>
      </c>
      <c r="H5" t="s">
        <v>26</v>
      </c>
      <c r="I5" t="s">
        <v>26</v>
      </c>
      <c r="J5" t="s">
        <v>26</v>
      </c>
    </row>
    <row r="6" spans="1:11" hidden="1" x14ac:dyDescent="0.25">
      <c r="A6" s="3" t="s">
        <v>27</v>
      </c>
      <c r="B6" t="s">
        <v>28</v>
      </c>
      <c r="C6" t="s">
        <v>28</v>
      </c>
      <c r="D6" t="s">
        <v>28</v>
      </c>
      <c r="E6" t="s">
        <v>28</v>
      </c>
      <c r="F6" t="s">
        <v>28</v>
      </c>
      <c r="G6" t="s">
        <v>28</v>
      </c>
      <c r="H6" t="s">
        <v>28</v>
      </c>
      <c r="I6" t="s">
        <v>28</v>
      </c>
      <c r="J6" t="s">
        <v>28</v>
      </c>
    </row>
    <row r="7" spans="1:11" hidden="1" x14ac:dyDescent="0.25">
      <c r="A7" s="3" t="s">
        <v>29</v>
      </c>
      <c r="B7" t="s">
        <v>30</v>
      </c>
      <c r="C7" t="s">
        <v>30</v>
      </c>
      <c r="D7" t="s">
        <v>30</v>
      </c>
      <c r="E7" t="s">
        <v>30</v>
      </c>
      <c r="F7" t="s">
        <v>30</v>
      </c>
      <c r="G7" t="s">
        <v>30</v>
      </c>
      <c r="H7" t="s">
        <v>30</v>
      </c>
      <c r="I7" t="s">
        <v>30</v>
      </c>
      <c r="J7" t="s">
        <v>30</v>
      </c>
    </row>
    <row r="8" spans="1:11" hidden="1" x14ac:dyDescent="0.25">
      <c r="A8" s="3" t="s">
        <v>31</v>
      </c>
      <c r="B8" t="s">
        <v>32</v>
      </c>
      <c r="C8" t="s">
        <v>32</v>
      </c>
      <c r="D8" t="s">
        <v>32</v>
      </c>
      <c r="E8" t="s">
        <v>32</v>
      </c>
      <c r="F8" t="s">
        <v>32</v>
      </c>
      <c r="G8" t="s">
        <v>32</v>
      </c>
      <c r="H8" t="s">
        <v>32</v>
      </c>
      <c r="I8" t="s">
        <v>32</v>
      </c>
      <c r="J8" t="s">
        <v>32</v>
      </c>
    </row>
    <row r="9" spans="1:11" hidden="1" x14ac:dyDescent="0.25">
      <c r="A9" s="3" t="s">
        <v>33</v>
      </c>
      <c r="B9" t="s">
        <v>34</v>
      </c>
      <c r="C9" t="s">
        <v>34</v>
      </c>
      <c r="D9" t="s">
        <v>34</v>
      </c>
      <c r="E9" t="s">
        <v>34</v>
      </c>
      <c r="F9" t="s">
        <v>34</v>
      </c>
      <c r="G9" t="s">
        <v>34</v>
      </c>
      <c r="H9" t="s">
        <v>34</v>
      </c>
      <c r="I9" t="s">
        <v>34</v>
      </c>
      <c r="J9" t="s">
        <v>34</v>
      </c>
    </row>
    <row r="10" spans="1:11" hidden="1" x14ac:dyDescent="0.25">
      <c r="A10" s="3" t="s">
        <v>35</v>
      </c>
      <c r="B10" t="s">
        <v>36</v>
      </c>
      <c r="C10" t="s">
        <v>36</v>
      </c>
      <c r="D10" t="s">
        <v>36</v>
      </c>
      <c r="E10" t="s">
        <v>36</v>
      </c>
      <c r="F10" t="s">
        <v>36</v>
      </c>
      <c r="G10" t="s">
        <v>36</v>
      </c>
      <c r="H10" t="s">
        <v>36</v>
      </c>
      <c r="I10" t="s">
        <v>36</v>
      </c>
      <c r="J10" t="s">
        <v>36</v>
      </c>
    </row>
    <row r="11" spans="1:11" hidden="1" x14ac:dyDescent="0.25">
      <c r="A11" s="3" t="s">
        <v>37</v>
      </c>
      <c r="B11" t="s">
        <v>38</v>
      </c>
      <c r="C11" t="s">
        <v>38</v>
      </c>
      <c r="D11" t="s">
        <v>38</v>
      </c>
      <c r="E11" t="s">
        <v>38</v>
      </c>
      <c r="F11" t="s">
        <v>38</v>
      </c>
      <c r="G11" t="s">
        <v>38</v>
      </c>
      <c r="H11" t="s">
        <v>38</v>
      </c>
      <c r="I11" t="s">
        <v>38</v>
      </c>
      <c r="J11" t="s">
        <v>38</v>
      </c>
    </row>
    <row r="12" spans="1:11" x14ac:dyDescent="0.25">
      <c r="A12" s="3" t="s">
        <v>39</v>
      </c>
      <c r="B12" s="9" t="s">
        <v>40</v>
      </c>
      <c r="C12" s="11" t="s">
        <v>41</v>
      </c>
      <c r="D12" s="9" t="s">
        <v>42</v>
      </c>
      <c r="E12" s="9" t="s">
        <v>43</v>
      </c>
      <c r="F12" s="11" t="s">
        <v>44</v>
      </c>
      <c r="G12" s="66" t="s">
        <v>45</v>
      </c>
      <c r="H12" s="19" t="s">
        <v>46</v>
      </c>
      <c r="I12" s="19" t="s">
        <v>47</v>
      </c>
      <c r="J12" s="19" t="s">
        <v>48</v>
      </c>
      <c r="K12" s="67" t="s">
        <v>49</v>
      </c>
    </row>
    <row r="13" spans="1:11" s="2" customFormat="1" ht="30" x14ac:dyDescent="0.25">
      <c r="A13" s="4" t="s">
        <v>50</v>
      </c>
      <c r="B13" s="2" t="s">
        <v>51</v>
      </c>
      <c r="C13" s="2" t="s">
        <v>52</v>
      </c>
      <c r="D13" s="2" t="s">
        <v>53</v>
      </c>
      <c r="E13" s="2" t="s">
        <v>54</v>
      </c>
      <c r="F13" s="2" t="s">
        <v>55</v>
      </c>
      <c r="G13" s="2" t="s">
        <v>56</v>
      </c>
      <c r="H13" s="2" t="s">
        <v>57</v>
      </c>
      <c r="I13" s="2" t="s">
        <v>56</v>
      </c>
      <c r="J13" s="2" t="s">
        <v>55</v>
      </c>
      <c r="K13" s="2" t="s">
        <v>58</v>
      </c>
    </row>
    <row r="14" spans="1:11" x14ac:dyDescent="0.25">
      <c r="A14" s="3" t="s">
        <v>59</v>
      </c>
      <c r="B14" t="s">
        <v>60</v>
      </c>
      <c r="C14" t="s">
        <v>61</v>
      </c>
      <c r="D14" t="s">
        <v>62</v>
      </c>
      <c r="E14" s="1">
        <v>18295250596</v>
      </c>
      <c r="F14" t="s">
        <v>63</v>
      </c>
      <c r="G14" t="s">
        <v>64</v>
      </c>
      <c r="H14" t="s">
        <v>65</v>
      </c>
      <c r="I14" t="s">
        <v>66</v>
      </c>
      <c r="J14" t="s">
        <v>67</v>
      </c>
      <c r="K14" t="s">
        <v>68</v>
      </c>
    </row>
    <row r="15" spans="1:11" x14ac:dyDescent="0.25">
      <c r="A15" s="3" t="s">
        <v>69</v>
      </c>
      <c r="B15" s="1">
        <v>8094439005</v>
      </c>
      <c r="C15" s="1">
        <v>8096985829</v>
      </c>
      <c r="D15" s="1">
        <v>8096138705</v>
      </c>
      <c r="E15" s="1">
        <v>8092706935</v>
      </c>
      <c r="F15" s="1" t="s">
        <v>70</v>
      </c>
      <c r="G15" s="1">
        <v>8295582623</v>
      </c>
      <c r="H15" s="1">
        <v>8099817814</v>
      </c>
      <c r="I15" s="1">
        <v>8294545077</v>
      </c>
      <c r="J15" s="1">
        <v>8294927969</v>
      </c>
      <c r="K15" t="s">
        <v>71</v>
      </c>
    </row>
    <row r="16" spans="1:11" ht="18.75" customHeight="1" x14ac:dyDescent="0.25">
      <c r="A16" s="3" t="s">
        <v>72</v>
      </c>
      <c r="B16" s="10" t="s">
        <v>73</v>
      </c>
      <c r="C16" t="s">
        <v>74</v>
      </c>
      <c r="D16" t="s">
        <v>75</v>
      </c>
      <c r="E16" t="s">
        <v>76</v>
      </c>
      <c r="F16" t="s">
        <v>77</v>
      </c>
      <c r="G16" t="s">
        <v>78</v>
      </c>
      <c r="H16" t="s">
        <v>79</v>
      </c>
      <c r="I16" t="s">
        <v>80</v>
      </c>
      <c r="J16" t="s">
        <v>81</v>
      </c>
      <c r="K16" t="s">
        <v>82</v>
      </c>
    </row>
    <row r="17" spans="1:11" ht="45" x14ac:dyDescent="0.25">
      <c r="A17" s="4" t="s">
        <v>83</v>
      </c>
      <c r="B17" s="2" t="s">
        <v>84</v>
      </c>
      <c r="C17" s="2" t="s">
        <v>85</v>
      </c>
      <c r="D17" s="2" t="s">
        <v>86</v>
      </c>
      <c r="E17" s="2" t="s">
        <v>87</v>
      </c>
      <c r="F17" s="2" t="s">
        <v>88</v>
      </c>
      <c r="G17" s="2" t="s">
        <v>89</v>
      </c>
      <c r="H17" s="2" t="s">
        <v>90</v>
      </c>
      <c r="I17" s="2" t="s">
        <v>91</v>
      </c>
      <c r="J17" s="2" t="s">
        <v>92</v>
      </c>
      <c r="K17" t="s">
        <v>93</v>
      </c>
    </row>
    <row r="18" spans="1:11" x14ac:dyDescent="0.25">
      <c r="A18" s="3" t="s">
        <v>94</v>
      </c>
      <c r="B18" t="s">
        <v>95</v>
      </c>
      <c r="C18" t="s">
        <v>96</v>
      </c>
      <c r="D18" t="s">
        <v>97</v>
      </c>
      <c r="E18" t="s">
        <v>98</v>
      </c>
      <c r="F18" t="s">
        <v>99</v>
      </c>
      <c r="G18" t="s">
        <v>95</v>
      </c>
      <c r="H18" t="s">
        <v>100</v>
      </c>
      <c r="I18" t="s">
        <v>95</v>
      </c>
      <c r="J18" t="s">
        <v>95</v>
      </c>
    </row>
    <row r="19" spans="1:11" x14ac:dyDescent="0.25">
      <c r="A19" s="3" t="s">
        <v>101</v>
      </c>
      <c r="B19" t="s">
        <v>102</v>
      </c>
      <c r="C19" t="s">
        <v>103</v>
      </c>
      <c r="D19" t="s">
        <v>104</v>
      </c>
      <c r="E19" t="s">
        <v>105</v>
      </c>
      <c r="F19" t="s">
        <v>106</v>
      </c>
      <c r="G19" t="s">
        <v>107</v>
      </c>
      <c r="H19" t="s">
        <v>108</v>
      </c>
      <c r="I19" t="s">
        <v>107</v>
      </c>
      <c r="J19" t="s">
        <v>102</v>
      </c>
    </row>
    <row r="20" spans="1:11" x14ac:dyDescent="0.25">
      <c r="A20" s="3" t="s">
        <v>109</v>
      </c>
      <c r="G20" t="s">
        <v>110</v>
      </c>
    </row>
    <row r="21" spans="1:11" x14ac:dyDescent="0.25">
      <c r="A21" s="3" t="s">
        <v>111</v>
      </c>
      <c r="G21" t="s">
        <v>112</v>
      </c>
    </row>
    <row r="22" spans="1:11" x14ac:dyDescent="0.25">
      <c r="A22" s="3" t="s">
        <v>113</v>
      </c>
      <c r="B22" t="s">
        <v>114</v>
      </c>
      <c r="C22" t="s">
        <v>114</v>
      </c>
      <c r="D22" t="s">
        <v>114</v>
      </c>
      <c r="E22" t="s">
        <v>115</v>
      </c>
      <c r="F22" t="s">
        <v>115</v>
      </c>
      <c r="G22" t="s">
        <v>114</v>
      </c>
      <c r="H22" t="s">
        <v>114</v>
      </c>
      <c r="I22" t="s">
        <v>115</v>
      </c>
      <c r="J22" t="s">
        <v>114</v>
      </c>
    </row>
    <row r="23" spans="1:11" hidden="1" x14ac:dyDescent="0.25">
      <c r="A23" s="3" t="s">
        <v>116</v>
      </c>
      <c r="B23" t="s">
        <v>117</v>
      </c>
      <c r="C23" t="s">
        <v>118</v>
      </c>
      <c r="D23" t="s">
        <v>119</v>
      </c>
      <c r="E23" t="s">
        <v>120</v>
      </c>
      <c r="F23" t="s">
        <v>121</v>
      </c>
      <c r="G23" t="s">
        <v>122</v>
      </c>
      <c r="H23" t="s">
        <v>123</v>
      </c>
      <c r="I23" t="s">
        <v>124</v>
      </c>
      <c r="J23" t="s">
        <v>125</v>
      </c>
    </row>
    <row r="24" spans="1:11" s="2" customFormat="1" ht="30" x14ac:dyDescent="0.25">
      <c r="A24" s="7" t="s">
        <v>126</v>
      </c>
      <c r="B24" s="2" t="s">
        <v>127</v>
      </c>
      <c r="C24" s="2" t="s">
        <v>128</v>
      </c>
      <c r="D24" s="2" t="s">
        <v>129</v>
      </c>
      <c r="E24" s="2" t="s">
        <v>130</v>
      </c>
      <c r="F24" s="2" t="s">
        <v>131</v>
      </c>
      <c r="G24" s="2" t="s">
        <v>132</v>
      </c>
      <c r="H24" s="2" t="s">
        <v>133</v>
      </c>
      <c r="I24" s="2" t="s">
        <v>134</v>
      </c>
      <c r="J24" s="2" t="s">
        <v>135</v>
      </c>
    </row>
    <row r="25" spans="1:11" s="2" customFormat="1" ht="90" x14ac:dyDescent="0.25">
      <c r="A25" s="7" t="s">
        <v>136</v>
      </c>
      <c r="B25" s="2" t="s">
        <v>137</v>
      </c>
      <c r="C25" s="2" t="s">
        <v>138</v>
      </c>
      <c r="D25" s="8" t="s">
        <v>139</v>
      </c>
      <c r="E25" s="8" t="s">
        <v>140</v>
      </c>
      <c r="F25" s="8" t="s">
        <v>141</v>
      </c>
      <c r="G25" s="8" t="s">
        <v>142</v>
      </c>
      <c r="H25" s="8" t="s">
        <v>140</v>
      </c>
      <c r="I25" s="8" t="s">
        <v>140</v>
      </c>
      <c r="J25" s="8" t="s">
        <v>140</v>
      </c>
    </row>
    <row r="26" spans="1:11" s="2" customFormat="1" ht="127.5" x14ac:dyDescent="0.25">
      <c r="A26" s="7" t="s">
        <v>143</v>
      </c>
      <c r="B26" s="2" t="str">
        <f ca="1">IF(B27=TODAY(),
"El cliente quedo en contactarme mañana para proceder con la instalacion. Contactar pasado mañana si el no me a contactado, para sabe si aun le interesa.
notificacion",
IF(B27&gt;TODAY(),
"Martes 25 Abril 2017. El cliente quedo en contactarme mañana para proceder con la instalacion. Contactar pasado mañana si el no me a contactado, para sabe si aun le interesa.",
"Martes 25 Abril 2017. El cliente quedo en contactarme mañana para proceder con la instalacion. Contactar pasado mañana si el no me a contactado, para sabe si aun le interesa.
caducada hace: "&amp;TODAY()-B27&amp;" dias"))</f>
        <v>Martes 25 Abril 2017. El cliente quedo en contactarme mañana para proceder con la instalacion. Contactar pasado mañana si el no me a contactado, para sabe si aun le interesa.
caducada hace: 3 dias</v>
      </c>
      <c r="C26" s="25" t="str">
        <f ca="1">IF(C27=TODAY(),
"",
IF(C27&gt;TODAY(),
"",
""))</f>
        <v/>
      </c>
      <c r="D26" s="8" t="str">
        <f ca="1">IF(D27=TODAY(),
"La cliente quedo en instalar el sistema a final de mes. Contactar el lunes 1ero de mayo si esta no me ah contactado.
notificacion",
IF(D27&gt;TODAY(),
"La cliente quedo en instalar el sistema a final de mes. Contactar el lunes 1ero de mayo si esta no me ah contactado.
faltan: "&amp;D27-TODAY()&amp;" dias",
"La cliente quedo en instalar el sistema a final de mes. Contactar el lunes 1ero de mayo si esta no me ah contactado.
caducada"))</f>
        <v>La cliente quedo en instalar el sistema a final de mes. Contactar el lunes 1ero de mayo si esta no me ah contactado.
faltan: 3 dias</v>
      </c>
      <c r="E26" s="8" t="str">
        <f ca="1">IF(E27=TODAY(),
"La cliente E30consultara con su marido para saber si a este le interesaria instalar el sistema en una cafeteria que el tiene. La cliente me pidio que la contactara hoy a las 11:00 am, para saber su respuesta.
notificacion",
IF(E27&gt;TODAY(),
"La cliente consultara con su marido para saber si a este le interesaria instalar el sistema en una cafeteria que el tiene. La cliente me pidio que la contactara hoy a las 11:00 am, para saber su respuesta.
restan:"&amp;E27-TODAY(),
"La cliente consultara con su marido para saber si a este le interesaria instalar el sistema en una cafeteria que el tiene. La cliente me pidio que la contactara hoy a las 11:00 am, para saber su respuesta.
caducada hace: "&amp;TODAY()-E27))</f>
        <v>La cliente consultara con su marido para saber si a este le interesaria instalar el sistema en una cafeteria que el tiene. La cliente me pidio que la contactara hoy a las 11:00 am, para saber su respuesta.
caducada hace: 1</v>
      </c>
      <c r="F26" s="8" t="str">
        <f ca="1">IF(F27=TODAY(),
"",
IF(F27&gt;TODAY(),
"",
""))</f>
        <v/>
      </c>
      <c r="G26" s="8" t="str">
        <f ca="1">IF(G27=TODAY(),
"El cliento quedo en realizar el deposito el dia de hoy por el banco de Reservas de un monto de 3,000 pesos. Este tendra como referencia su numero de cedula. Contactar mañana 28/04/2017 si este no me ah contactado para saber que ah pasado.
notificacion",
IF(G27&gt;TODAY(),
"El cliento quedo en realizar el deposito el dia de hoy por el banco de Reservas de un monto de 3,000 pesos. Este tendra como referencia su numero de cedula. Contactar mañana 28/04/2017 si este no me ah contactado para saber que ah pasado.
faltan: "&amp;G27-TODAY()&amp;" dias",
"El cliento quedo en realizar el deposito el dia de hoy por el banco de Reservas de un monto de 3,000 pesos. Este tendra como referencia su numero de cedula. Contactar mañana 28/04/2017 si este no me ah contactado para saber que ah pasado.
caducada hace: "&amp;TODAY()-G27))</f>
        <v>El cliento quedo en realizar el deposito el dia de hoy por el banco de Reservas de un monto de 3,000 pesos. Este tendra como referencia su numero de cedula. Contactar mañana 28/04/2017 si este no me ah contactado para saber que ah pasado.
notificacion</v>
      </c>
      <c r="H26" s="8" t="str">
        <f ca="1">IF(H27=TODAY(),
"",
IF(H27&gt;TODAY(),
"",
""))</f>
        <v/>
      </c>
      <c r="I26" s="8" t="str">
        <f ca="1">IF(I27=TODAY(),
"",
IF(I27&gt;TODAY(),
"",
""))</f>
        <v/>
      </c>
      <c r="J26" s="8" t="str">
        <f ca="1">IF(J27=TODAY(),
"",
IF(J27&gt;TODAY(),
"",
""))</f>
        <v/>
      </c>
    </row>
    <row r="27" spans="1:11" s="31" customFormat="1" x14ac:dyDescent="0.25">
      <c r="A27" s="29"/>
      <c r="B27" s="30">
        <v>42850</v>
      </c>
      <c r="C27" s="30">
        <v>42852</v>
      </c>
      <c r="D27" s="30">
        <v>42856</v>
      </c>
      <c r="E27" s="30">
        <v>42852</v>
      </c>
      <c r="G27" s="30">
        <v>42853</v>
      </c>
    </row>
    <row r="28" spans="1:11" s="2" customFormat="1" ht="150" x14ac:dyDescent="0.25">
      <c r="A28" s="7" t="s">
        <v>144</v>
      </c>
      <c r="B28" s="2" t="str">
        <f ca="1">IF(B29=TODAY(),
"El cliente dice que si le interesa el sistema, pero que ahora mismo no tiene el dinero para instalarlo. Este quedo en contactarme a principio del proximo mes, dia 5."&amp;" Contactar el lunes 8 de mayo para saber si aun le interesa el sistema y una posible instalacion
notificacion",
IF(B29&gt;TODAY(),
"El cliente dice que si le interesa el sistema, pero que ahora mismo no tiene el dinero para instalarlo. Este quedo en contactarme a principio del proximo mes, dia 5."&amp;" Contactar el lunes 8 de mayo para saber si aun le interesa el sistema y una posible instalacion
faltan: "&amp;B29-TODAY()&amp;" dias",
"El cliente dice que si le interesa el sistema, pero que ahora mismo no tiene el dinero para instalarlo. Este quedo en "&amp;"contactarme a principio del proximo mes, dia 5. Contactar el lunes 8 de mayo para saber si aun le interesa el sistema y una posible instalacion
caducada hace: "&amp;TODAY()-B29))</f>
        <v>El cliente dice que si le interesa el sistema, pero que ahora mismo no tiene el dinero para instalarlo. Este quedo en contactarme a principio del proximo mes, dia 5. Contactar el lunes 8 de mayo para saber si aun le interesa el sistema y una posible instalacion
faltan: 10 dias</v>
      </c>
      <c r="C28" s="25" t="str">
        <f t="shared" ref="C28:J28" ca="1" si="0">IF(C29=TODAY(),
"",
IF(C29&gt;TODAY(),
"",
""))</f>
        <v/>
      </c>
      <c r="D28" s="8" t="str">
        <f t="shared" ca="1" si="0"/>
        <v/>
      </c>
      <c r="E28" s="8" t="str">
        <f t="shared" ca="1" si="0"/>
        <v/>
      </c>
      <c r="F28" s="8" t="str">
        <f t="shared" ca="1" si="0"/>
        <v/>
      </c>
      <c r="G28" s="8" t="str">
        <f t="shared" ca="1" si="0"/>
        <v/>
      </c>
      <c r="H28" s="8" t="str">
        <f t="shared" ca="1" si="0"/>
        <v/>
      </c>
      <c r="I28" s="8" t="str">
        <f t="shared" ca="1" si="0"/>
        <v/>
      </c>
      <c r="J28" s="8" t="str">
        <f t="shared" ca="1" si="0"/>
        <v/>
      </c>
    </row>
    <row r="29" spans="1:11" s="31" customFormat="1" x14ac:dyDescent="0.25">
      <c r="A29" s="29"/>
      <c r="B29" s="30">
        <v>42863</v>
      </c>
      <c r="C29" s="30">
        <f ca="1">TODAY()</f>
        <v>42853</v>
      </c>
    </row>
    <row r="30" spans="1:11" s="2" customFormat="1" x14ac:dyDescent="0.25">
      <c r="A30" s="7" t="s">
        <v>145</v>
      </c>
      <c r="B30" s="2" t="str">
        <f t="shared" ref="B30:J30" ca="1" si="1">IF(B31=TODAY(),
"",
IF(B31&gt;TODAY(),
"",
""))</f>
        <v/>
      </c>
      <c r="C30" s="25" t="str">
        <f t="shared" ca="1" si="1"/>
        <v/>
      </c>
      <c r="D30" s="8" t="str">
        <f t="shared" ca="1" si="1"/>
        <v/>
      </c>
      <c r="E30" s="8" t="str">
        <f t="shared" ca="1" si="1"/>
        <v/>
      </c>
      <c r="F30" s="8" t="str">
        <f t="shared" ca="1" si="1"/>
        <v/>
      </c>
      <c r="G30" s="8" t="str">
        <f t="shared" ca="1" si="1"/>
        <v/>
      </c>
      <c r="H30" s="8" t="str">
        <f t="shared" ca="1" si="1"/>
        <v/>
      </c>
      <c r="I30" s="8" t="str">
        <f t="shared" ca="1" si="1"/>
        <v/>
      </c>
      <c r="J30" s="8" t="str">
        <f t="shared" ca="1" si="1"/>
        <v/>
      </c>
    </row>
    <row r="31" spans="1:11" s="31" customFormat="1" x14ac:dyDescent="0.25">
      <c r="A31" s="29"/>
      <c r="B31" s="32"/>
    </row>
  </sheetData>
  <conditionalFormatting sqref="B26:J31">
    <cfRule type="containsText" dxfId="29" priority="1" operator="containsText" text="caducada">
      <formula>NOT(ISERROR(SEARCH("caducada",B26)))</formula>
    </cfRule>
    <cfRule type="containsText" dxfId="28" priority="2" operator="containsText" text="notificacion">
      <formula>NOT(ISERROR(SEARCH("notificacion",B26)))</formula>
    </cfRule>
  </conditionalFormatting>
  <hyperlinks>
    <hyperlink ref="B16" r:id="rId1"/>
  </hyperlinks>
  <pageMargins left="0.7" right="0.7" top="0.75" bottom="0.75" header="0.3" footer="0.3"/>
  <pageSetup orientation="portrait"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30"/>
  <sheetViews>
    <sheetView topLeftCell="A22" zoomScaleNormal="100" workbookViewId="0">
      <pane xSplit="1" topLeftCell="B1" activePane="topRight" state="frozen"/>
      <selection activeCell="A13" sqref="A13"/>
      <selection pane="topRight" activeCell="E19" sqref="E19"/>
    </sheetView>
  </sheetViews>
  <sheetFormatPr baseColWidth="10" defaultColWidth="11.42578125" defaultRowHeight="15" x14ac:dyDescent="0.25"/>
  <cols>
    <col min="1" max="1" width="21.85546875" customWidth="1"/>
    <col min="2" max="10" width="31.140625" customWidth="1"/>
  </cols>
  <sheetData>
    <row r="1" spans="1:10" hidden="1" x14ac:dyDescent="0.25">
      <c r="A1" t="s">
        <v>10</v>
      </c>
      <c r="B1" t="s">
        <v>11</v>
      </c>
      <c r="C1" t="s">
        <v>12</v>
      </c>
      <c r="D1" t="s">
        <v>13</v>
      </c>
      <c r="E1" t="s">
        <v>14</v>
      </c>
      <c r="F1" t="s">
        <v>15</v>
      </c>
      <c r="G1" t="s">
        <v>16</v>
      </c>
      <c r="H1" t="s">
        <v>17</v>
      </c>
      <c r="I1" t="s">
        <v>18</v>
      </c>
      <c r="J1" t="s">
        <v>19</v>
      </c>
    </row>
    <row r="2" spans="1:10" ht="15.75" hidden="1" x14ac:dyDescent="0.25">
      <c r="A2" s="33" t="s">
        <v>0</v>
      </c>
      <c r="B2" t="s">
        <v>146</v>
      </c>
      <c r="C2" t="s">
        <v>147</v>
      </c>
      <c r="D2" t="s">
        <v>148</v>
      </c>
      <c r="E2" t="s">
        <v>149</v>
      </c>
      <c r="F2" t="s">
        <v>150</v>
      </c>
      <c r="G2" t="s">
        <v>151</v>
      </c>
      <c r="H2" t="s">
        <v>152</v>
      </c>
      <c r="I2" t="s">
        <v>153</v>
      </c>
      <c r="J2" t="s">
        <v>154</v>
      </c>
    </row>
    <row r="3" spans="1:10" ht="15.75" hidden="1" x14ac:dyDescent="0.25">
      <c r="A3" s="33" t="s">
        <v>155</v>
      </c>
      <c r="B3" t="s">
        <v>156</v>
      </c>
      <c r="C3" t="s">
        <v>157</v>
      </c>
      <c r="D3" t="s">
        <v>158</v>
      </c>
      <c r="E3" t="s">
        <v>159</v>
      </c>
      <c r="F3" t="s">
        <v>160</v>
      </c>
      <c r="G3" t="s">
        <v>161</v>
      </c>
      <c r="H3" t="s">
        <v>162</v>
      </c>
      <c r="I3" t="s">
        <v>163</v>
      </c>
      <c r="J3" t="s">
        <v>164</v>
      </c>
    </row>
    <row r="4" spans="1:10" ht="15.75" hidden="1" x14ac:dyDescent="0.25">
      <c r="A4" s="33" t="s">
        <v>21</v>
      </c>
      <c r="B4" t="s">
        <v>22</v>
      </c>
      <c r="C4" t="s">
        <v>22</v>
      </c>
      <c r="D4" t="s">
        <v>22</v>
      </c>
      <c r="E4" t="s">
        <v>22</v>
      </c>
      <c r="F4" t="s">
        <v>22</v>
      </c>
      <c r="G4" t="s">
        <v>22</v>
      </c>
      <c r="H4" t="s">
        <v>22</v>
      </c>
      <c r="I4" t="s">
        <v>22</v>
      </c>
      <c r="J4" t="s">
        <v>22</v>
      </c>
    </row>
    <row r="5" spans="1:10" ht="15.75" hidden="1" x14ac:dyDescent="0.25">
      <c r="A5" s="33" t="s">
        <v>23</v>
      </c>
      <c r="B5" t="s">
        <v>24</v>
      </c>
      <c r="C5" t="s">
        <v>24</v>
      </c>
      <c r="D5" t="s">
        <v>24</v>
      </c>
      <c r="E5" t="s">
        <v>24</v>
      </c>
      <c r="F5" t="s">
        <v>24</v>
      </c>
      <c r="G5" t="s">
        <v>24</v>
      </c>
      <c r="H5" t="s">
        <v>24</v>
      </c>
      <c r="I5" t="s">
        <v>24</v>
      </c>
      <c r="J5" t="s">
        <v>24</v>
      </c>
    </row>
    <row r="6" spans="1:10" ht="15.75" hidden="1" x14ac:dyDescent="0.25">
      <c r="A6" s="33" t="s">
        <v>25</v>
      </c>
      <c r="B6" t="s">
        <v>26</v>
      </c>
      <c r="C6" t="s">
        <v>26</v>
      </c>
      <c r="D6" t="s">
        <v>26</v>
      </c>
      <c r="E6" t="s">
        <v>26</v>
      </c>
      <c r="F6" t="s">
        <v>26</v>
      </c>
      <c r="G6" t="s">
        <v>26</v>
      </c>
      <c r="H6" t="s">
        <v>26</v>
      </c>
      <c r="I6" t="s">
        <v>26</v>
      </c>
      <c r="J6" t="s">
        <v>26</v>
      </c>
    </row>
    <row r="7" spans="1:10" ht="15.75" hidden="1" x14ac:dyDescent="0.25">
      <c r="A7" s="33" t="s">
        <v>27</v>
      </c>
      <c r="B7" t="s">
        <v>28</v>
      </c>
      <c r="C7" t="s">
        <v>28</v>
      </c>
      <c r="D7" t="s">
        <v>28</v>
      </c>
      <c r="E7" t="s">
        <v>28</v>
      </c>
      <c r="F7" t="s">
        <v>28</v>
      </c>
      <c r="G7" t="s">
        <v>28</v>
      </c>
      <c r="H7" t="s">
        <v>28</v>
      </c>
      <c r="I7" t="s">
        <v>28</v>
      </c>
      <c r="J7" t="s">
        <v>28</v>
      </c>
    </row>
    <row r="8" spans="1:10" ht="15.75" hidden="1" x14ac:dyDescent="0.25">
      <c r="A8" s="33" t="s">
        <v>29</v>
      </c>
      <c r="B8" t="s">
        <v>30</v>
      </c>
      <c r="C8" t="s">
        <v>30</v>
      </c>
      <c r="D8" t="s">
        <v>30</v>
      </c>
      <c r="E8" t="s">
        <v>30</v>
      </c>
      <c r="F8" t="s">
        <v>30</v>
      </c>
      <c r="G8" t="s">
        <v>30</v>
      </c>
      <c r="H8" t="s">
        <v>30</v>
      </c>
      <c r="I8" t="s">
        <v>30</v>
      </c>
      <c r="J8" t="s">
        <v>30</v>
      </c>
    </row>
    <row r="9" spans="1:10" ht="15.75" hidden="1" x14ac:dyDescent="0.25">
      <c r="A9" s="33" t="s">
        <v>31</v>
      </c>
      <c r="B9" t="s">
        <v>32</v>
      </c>
      <c r="C9" t="s">
        <v>32</v>
      </c>
      <c r="D9" t="s">
        <v>32</v>
      </c>
      <c r="E9" t="s">
        <v>32</v>
      </c>
      <c r="F9" t="s">
        <v>32</v>
      </c>
      <c r="G9" t="s">
        <v>32</v>
      </c>
      <c r="H9" t="s">
        <v>32</v>
      </c>
      <c r="I9" t="s">
        <v>32</v>
      </c>
      <c r="J9" t="s">
        <v>32</v>
      </c>
    </row>
    <row r="10" spans="1:10" ht="15.75" hidden="1" x14ac:dyDescent="0.25">
      <c r="A10" s="33" t="s">
        <v>33</v>
      </c>
      <c r="B10" t="s">
        <v>34</v>
      </c>
      <c r="C10" t="s">
        <v>34</v>
      </c>
      <c r="D10" t="s">
        <v>34</v>
      </c>
      <c r="E10" t="s">
        <v>34</v>
      </c>
      <c r="F10" t="s">
        <v>34</v>
      </c>
      <c r="G10" t="s">
        <v>34</v>
      </c>
      <c r="H10" t="s">
        <v>34</v>
      </c>
      <c r="I10" t="s">
        <v>34</v>
      </c>
      <c r="J10" t="s">
        <v>34</v>
      </c>
    </row>
    <row r="11" spans="1:10" ht="15.75" hidden="1" x14ac:dyDescent="0.25">
      <c r="A11" s="33" t="s">
        <v>35</v>
      </c>
      <c r="B11" t="s">
        <v>36</v>
      </c>
      <c r="C11" t="s">
        <v>36</v>
      </c>
      <c r="D11" t="s">
        <v>36</v>
      </c>
      <c r="E11" t="s">
        <v>36</v>
      </c>
      <c r="F11" t="s">
        <v>36</v>
      </c>
      <c r="G11" t="s">
        <v>36</v>
      </c>
      <c r="H11" t="s">
        <v>36</v>
      </c>
      <c r="I11" t="s">
        <v>36</v>
      </c>
      <c r="J11" t="s">
        <v>36</v>
      </c>
    </row>
    <row r="12" spans="1:10" ht="15.75" hidden="1" x14ac:dyDescent="0.25">
      <c r="A12" s="33" t="s">
        <v>37</v>
      </c>
      <c r="B12" t="s">
        <v>38</v>
      </c>
      <c r="C12" t="s">
        <v>38</v>
      </c>
      <c r="D12" t="s">
        <v>38</v>
      </c>
      <c r="E12" t="s">
        <v>38</v>
      </c>
      <c r="F12" t="s">
        <v>38</v>
      </c>
      <c r="G12" t="s">
        <v>38</v>
      </c>
      <c r="H12" t="s">
        <v>38</v>
      </c>
      <c r="I12" t="s">
        <v>38</v>
      </c>
      <c r="J12" t="s">
        <v>38</v>
      </c>
    </row>
    <row r="13" spans="1:10" ht="15.75" x14ac:dyDescent="0.25">
      <c r="A13" s="3" t="s">
        <v>39</v>
      </c>
      <c r="B13" s="20" t="s">
        <v>165</v>
      </c>
      <c r="C13" s="63" t="s">
        <v>166</v>
      </c>
      <c r="D13" s="63" t="s">
        <v>167</v>
      </c>
      <c r="E13" s="18" t="s">
        <v>168</v>
      </c>
      <c r="F13" s="63" t="s">
        <v>169</v>
      </c>
      <c r="G13" s="63" t="s">
        <v>170</v>
      </c>
      <c r="H13" s="63" t="s">
        <v>171</v>
      </c>
      <c r="I13" s="63" t="s">
        <v>172</v>
      </c>
      <c r="J13" s="63" t="s">
        <v>173</v>
      </c>
    </row>
    <row r="14" spans="1:10" s="17" customFormat="1" ht="15.75" x14ac:dyDescent="0.25">
      <c r="A14" s="16" t="s">
        <v>50</v>
      </c>
      <c r="B14" s="17" t="s">
        <v>174</v>
      </c>
      <c r="C14" s="17" t="s">
        <v>175</v>
      </c>
      <c r="D14" s="17" t="s">
        <v>176</v>
      </c>
      <c r="E14" s="17" t="s">
        <v>177</v>
      </c>
      <c r="F14" s="17" t="s">
        <v>178</v>
      </c>
      <c r="G14" s="17" t="s">
        <v>179</v>
      </c>
      <c r="H14" s="17" t="s">
        <v>180</v>
      </c>
      <c r="I14" s="17" t="s">
        <v>181</v>
      </c>
      <c r="J14" s="17" t="s">
        <v>56</v>
      </c>
    </row>
    <row r="15" spans="1:10" s="12" customFormat="1" ht="15.75" x14ac:dyDescent="0.25">
      <c r="A15" s="14" t="s">
        <v>69</v>
      </c>
      <c r="B15" s="12">
        <v>8098869160</v>
      </c>
      <c r="C15" s="15">
        <v>8297923970</v>
      </c>
      <c r="D15" s="15">
        <v>8097196528</v>
      </c>
      <c r="E15" s="12" t="s">
        <v>182</v>
      </c>
      <c r="F15" s="12">
        <v>8094596586</v>
      </c>
      <c r="G15" s="12">
        <v>8093600738</v>
      </c>
      <c r="H15" s="12">
        <v>8296570631</v>
      </c>
      <c r="I15" s="12" t="s">
        <v>183</v>
      </c>
      <c r="J15" s="12">
        <v>8294790868</v>
      </c>
    </row>
    <row r="16" spans="1:10" ht="15.75" x14ac:dyDescent="0.25">
      <c r="A16" s="3" t="s">
        <v>59</v>
      </c>
      <c r="B16" t="s">
        <v>184</v>
      </c>
      <c r="C16" t="s">
        <v>185</v>
      </c>
      <c r="D16" t="s">
        <v>186</v>
      </c>
      <c r="E16" t="s">
        <v>187</v>
      </c>
      <c r="F16" t="s">
        <v>188</v>
      </c>
      <c r="G16" t="s">
        <v>189</v>
      </c>
      <c r="H16" t="s">
        <v>190</v>
      </c>
      <c r="I16" t="s">
        <v>191</v>
      </c>
      <c r="J16" t="s">
        <v>192</v>
      </c>
    </row>
    <row r="17" spans="1:10" ht="15.75" x14ac:dyDescent="0.25">
      <c r="A17" s="3" t="s">
        <v>72</v>
      </c>
      <c r="B17" s="10" t="s">
        <v>193</v>
      </c>
      <c r="C17" t="s">
        <v>194</v>
      </c>
      <c r="D17" t="s">
        <v>195</v>
      </c>
      <c r="E17" t="s">
        <v>196</v>
      </c>
      <c r="F17" t="s">
        <v>197</v>
      </c>
      <c r="G17" t="s">
        <v>198</v>
      </c>
      <c r="H17" t="s">
        <v>199</v>
      </c>
      <c r="I17" t="s">
        <v>200</v>
      </c>
      <c r="J17" t="s">
        <v>201</v>
      </c>
    </row>
    <row r="18" spans="1:10" ht="37.5" customHeight="1" x14ac:dyDescent="0.25">
      <c r="A18" s="4" t="s">
        <v>83</v>
      </c>
      <c r="B18" s="2" t="s">
        <v>202</v>
      </c>
      <c r="C18" s="2" t="s">
        <v>203</v>
      </c>
      <c r="D18" s="2" t="s">
        <v>204</v>
      </c>
      <c r="E18" s="2" t="s">
        <v>205</v>
      </c>
      <c r="F18" s="2" t="s">
        <v>206</v>
      </c>
      <c r="G18" s="2" t="s">
        <v>207</v>
      </c>
      <c r="H18" s="2" t="s">
        <v>208</v>
      </c>
      <c r="I18" s="2" t="s">
        <v>209</v>
      </c>
      <c r="J18" s="2" t="s">
        <v>210</v>
      </c>
    </row>
    <row r="19" spans="1:10" ht="15.75" x14ac:dyDescent="0.25">
      <c r="A19" s="3" t="s">
        <v>94</v>
      </c>
      <c r="B19" t="s">
        <v>95</v>
      </c>
      <c r="C19" t="s">
        <v>102</v>
      </c>
      <c r="D19" t="s">
        <v>95</v>
      </c>
      <c r="E19" t="s">
        <v>95</v>
      </c>
      <c r="F19" t="s">
        <v>107</v>
      </c>
      <c r="G19" t="s">
        <v>95</v>
      </c>
      <c r="H19" t="s">
        <v>95</v>
      </c>
      <c r="I19" t="s">
        <v>107</v>
      </c>
      <c r="J19" t="s">
        <v>211</v>
      </c>
    </row>
    <row r="20" spans="1:10" ht="15.75" x14ac:dyDescent="0.25">
      <c r="A20" s="3" t="s">
        <v>101</v>
      </c>
      <c r="B20" t="s">
        <v>107</v>
      </c>
      <c r="C20" t="s">
        <v>102</v>
      </c>
      <c r="D20" t="s">
        <v>102</v>
      </c>
      <c r="E20" t="s">
        <v>102</v>
      </c>
      <c r="F20" t="s">
        <v>212</v>
      </c>
      <c r="G20" t="s">
        <v>102</v>
      </c>
      <c r="H20" t="s">
        <v>213</v>
      </c>
      <c r="I20" t="s">
        <v>102</v>
      </c>
      <c r="J20" t="s">
        <v>102</v>
      </c>
    </row>
    <row r="21" spans="1:10" ht="15.75" x14ac:dyDescent="0.25">
      <c r="A21" s="7" t="s">
        <v>113</v>
      </c>
      <c r="B21" s="2" t="s">
        <v>114</v>
      </c>
      <c r="C21" s="2" t="s">
        <v>114</v>
      </c>
      <c r="D21" s="2" t="s">
        <v>114</v>
      </c>
      <c r="E21" s="2" t="s">
        <v>114</v>
      </c>
      <c r="F21" s="2" t="s">
        <v>114</v>
      </c>
      <c r="G21" s="2" t="s">
        <v>114</v>
      </c>
      <c r="H21" s="2" t="s">
        <v>114</v>
      </c>
      <c r="I21" s="2" t="s">
        <v>114</v>
      </c>
      <c r="J21" s="2" t="s">
        <v>114</v>
      </c>
    </row>
    <row r="22" spans="1:10" s="2" customFormat="1" ht="30" x14ac:dyDescent="0.25">
      <c r="A22" s="7" t="s">
        <v>126</v>
      </c>
      <c r="B22" s="2" t="s">
        <v>214</v>
      </c>
      <c r="C22" s="2" t="s">
        <v>215</v>
      </c>
      <c r="D22" s="2" t="s">
        <v>216</v>
      </c>
      <c r="E22" s="13" t="s">
        <v>217</v>
      </c>
      <c r="F22" s="2" t="s">
        <v>218</v>
      </c>
      <c r="G22" s="2" t="s">
        <v>219</v>
      </c>
      <c r="H22" s="2" t="s">
        <v>220</v>
      </c>
      <c r="I22" s="2" t="s">
        <v>221</v>
      </c>
      <c r="J22" s="2" t="s">
        <v>222</v>
      </c>
    </row>
    <row r="23" spans="1:10" ht="90" x14ac:dyDescent="0.25">
      <c r="A23" s="7" t="s">
        <v>223</v>
      </c>
      <c r="B23" s="2" t="s">
        <v>224</v>
      </c>
      <c r="C23" s="2"/>
      <c r="D23" s="2"/>
      <c r="E23" s="2" t="s">
        <v>225</v>
      </c>
      <c r="F23" s="2"/>
      <c r="G23" s="2"/>
      <c r="H23" s="2"/>
      <c r="I23" s="2"/>
      <c r="J23" s="2"/>
    </row>
    <row r="24" spans="1:10" s="35" customFormat="1" ht="140.25" x14ac:dyDescent="0.25">
      <c r="A24" s="7" t="s">
        <v>143</v>
      </c>
      <c r="B24" s="2" t="str">
        <f ca="1">IF(B25=TODAY(),
"",
IF(B25&gt;TODAY(),
"",
""))</f>
        <v/>
      </c>
      <c r="C24" s="2" t="str">
        <f ca="1">IF(C25=TODAY(),
"",
IF(C25&gt;TODAY(),
"",
""))</f>
        <v/>
      </c>
      <c r="D24" s="8" t="str">
        <f ca="1">IF(D25=TODAY(),
"",
IF(D25&gt;TODAY(),
"",
""))</f>
        <v/>
      </c>
      <c r="E24" s="8" t="str">
        <f ca="1">IF(E25=TODAY(),
"Martes 25 Abril 2017. El quedo en hablar con su padre antes de tomar la decicion de instalar el sistema. Quedo en contactarme en esta semana para darme una respuesta. "&amp;"Contactar la proxima semana si el no me ah contactado para saber si le interesa el servicio o si cambio de opinion.
notificacion",
IF(E25&gt;TODAY(),
"Martes 25 Abril 2017. El quedo en hablar con su padre antes de tomar la decicion de instalar el sistema. Quedo en contactarme en esta semana para darme una respuesta."&amp;" Contactar la proxima semana si el no me ah contactado para saber si le interesa el servicio o si cambio de opinion.
faltan: "&amp;E25-TODAY()&amp;" dias",
"Martes 25 Abril 2017. El quedo en hablar con su padre antes de tomar la decicion de instalar el sistema. Quedo en contactarme en esta semana para darme una respuesta."&amp;" Contactar la proxima semana si el no me ah contactado para saber si le interesa el servicio o si cambio de opinion.
caducada"))</f>
        <v>Martes 25 Abril 2017. El quedo en hablar con su padre antes de tomar la decicion de instalar el sistema. Quedo en contactarme en esta semana para darme una respuesta. Contactar la proxima semana si el no me ah contactado para saber si le interesa el servicio o si cambio de opinion.
faltan: 3 dias</v>
      </c>
      <c r="F24" s="8" t="str">
        <f ca="1">IF(F25=TODAY(),
"",
IF(F25&gt;TODAY(),
"",
""))</f>
        <v/>
      </c>
      <c r="G24" s="8" t="str">
        <f ca="1">IF(G25=TODAY(),
"",
IF(G25&gt;TODAY(),
"",
""))</f>
        <v/>
      </c>
      <c r="H24" s="8" t="str">
        <f ca="1">IF(H25=TODAY(),
"",
IF(H25&gt;TODAY(),
"",
""))</f>
        <v/>
      </c>
      <c r="I24" s="8" t="str">
        <f ca="1">IF(I25=TODAY(),
"",
IF(I25&gt;TODAY(),
"",
""))</f>
        <v/>
      </c>
      <c r="J24" s="8" t="str">
        <f ca="1">IF(J25=TODAY(),
"",
IF(J25&gt;TODAY(),
"",
""))</f>
        <v/>
      </c>
    </row>
    <row r="25" spans="1:10" x14ac:dyDescent="0.25">
      <c r="A25" s="34"/>
      <c r="E25" s="28">
        <v>42856</v>
      </c>
    </row>
    <row r="26" spans="1:10" ht="15.75" x14ac:dyDescent="0.25">
      <c r="A26" s="7" t="s">
        <v>144</v>
      </c>
      <c r="B26" s="2" t="str">
        <f t="shared" ref="B26:J26" ca="1" si="0">IF(B27=TODAY(),
"",
IF(B27&gt;TODAY(),
"",
""))</f>
        <v/>
      </c>
      <c r="C26" s="25" t="str">
        <f t="shared" ca="1" si="0"/>
        <v/>
      </c>
      <c r="D26" s="8" t="str">
        <f t="shared" ca="1" si="0"/>
        <v/>
      </c>
      <c r="E26" s="8" t="str">
        <f t="shared" ca="1" si="0"/>
        <v/>
      </c>
      <c r="F26" s="8" t="str">
        <f t="shared" ca="1" si="0"/>
        <v/>
      </c>
      <c r="G26" s="8" t="str">
        <f t="shared" ca="1" si="0"/>
        <v/>
      </c>
      <c r="H26" s="8" t="str">
        <f t="shared" ca="1" si="0"/>
        <v/>
      </c>
      <c r="I26" s="8" t="str">
        <f t="shared" ca="1" si="0"/>
        <v/>
      </c>
      <c r="J26" s="8" t="str">
        <f t="shared" ca="1" si="0"/>
        <v/>
      </c>
    </row>
    <row r="27" spans="1:10" x14ac:dyDescent="0.25">
      <c r="A27" s="34"/>
    </row>
    <row r="28" spans="1:10" ht="15.75" x14ac:dyDescent="0.25">
      <c r="A28" s="7" t="s">
        <v>145</v>
      </c>
      <c r="B28" s="2" t="str">
        <f t="shared" ref="B28:I28" ca="1" si="1">IF(B29=TODAY(),
"",
IF(B29&gt;TODAY(),
"",
""))</f>
        <v/>
      </c>
      <c r="C28" s="25" t="str">
        <f t="shared" ca="1" si="1"/>
        <v/>
      </c>
      <c r="D28" s="8" t="str">
        <f t="shared" ca="1" si="1"/>
        <v/>
      </c>
      <c r="E28" s="8" t="str">
        <f t="shared" ca="1" si="1"/>
        <v/>
      </c>
      <c r="F28" s="8" t="str">
        <f t="shared" ca="1" si="1"/>
        <v/>
      </c>
      <c r="G28" s="8" t="str">
        <f t="shared" ca="1" si="1"/>
        <v/>
      </c>
      <c r="H28" s="8" t="str">
        <f t="shared" ca="1" si="1"/>
        <v/>
      </c>
      <c r="I28" s="8" t="str">
        <f t="shared" ca="1" si="1"/>
        <v/>
      </c>
      <c r="J28" s="8" t="str">
        <f ca="1">IF(J29=TODAY(),
"notificacion",
IF(J29&gt;TODAY(),
"",
""))</f>
        <v/>
      </c>
    </row>
    <row r="29" spans="1:10" ht="15.75" x14ac:dyDescent="0.25">
      <c r="A29" s="7"/>
      <c r="B29" s="2"/>
      <c r="C29" s="2"/>
      <c r="D29" s="8"/>
      <c r="E29" s="8"/>
      <c r="F29" s="8"/>
      <c r="G29" s="8"/>
      <c r="H29" s="8"/>
      <c r="I29" s="8"/>
      <c r="J29" s="36"/>
    </row>
    <row r="30" spans="1:10" x14ac:dyDescent="0.25">
      <c r="J30" s="28"/>
    </row>
  </sheetData>
  <sheetProtection selectLockedCells="1" selectUnlockedCells="1"/>
  <conditionalFormatting sqref="B24:J29">
    <cfRule type="containsText" dxfId="25" priority="1" operator="containsText" text="caducada">
      <formula>NOT(ISERROR(SEARCH("caducada",B24)))</formula>
    </cfRule>
    <cfRule type="containsText" dxfId="24" priority="2" operator="containsText" text="notificacion">
      <formula>NOT(ISERROR(SEARCH("notificacion",B24)))</formula>
    </cfRule>
  </conditionalFormatting>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29"/>
  <sheetViews>
    <sheetView topLeftCell="A13" workbookViewId="0">
      <pane xSplit="1" topLeftCell="B1" activePane="topRight" state="frozen"/>
      <selection activeCell="A13" sqref="A13"/>
      <selection pane="topRight" activeCell="A16" sqref="A16"/>
    </sheetView>
  </sheetViews>
  <sheetFormatPr baseColWidth="10" defaultColWidth="11.42578125" defaultRowHeight="15" x14ac:dyDescent="0.25"/>
  <cols>
    <col min="1" max="1" width="22.5703125" customWidth="1"/>
    <col min="2" max="11" width="29.28515625" customWidth="1"/>
  </cols>
  <sheetData>
    <row r="1" spans="1:11" hidden="1" x14ac:dyDescent="0.25">
      <c r="A1" t="s">
        <v>10</v>
      </c>
      <c r="B1" t="s">
        <v>11</v>
      </c>
      <c r="C1" t="s">
        <v>12</v>
      </c>
      <c r="D1" t="s">
        <v>13</v>
      </c>
      <c r="E1" t="s">
        <v>14</v>
      </c>
      <c r="F1" t="s">
        <v>15</v>
      </c>
      <c r="G1" t="s">
        <v>16</v>
      </c>
      <c r="H1" t="s">
        <v>17</v>
      </c>
      <c r="I1" t="s">
        <v>18</v>
      </c>
      <c r="J1" t="s">
        <v>19</v>
      </c>
      <c r="K1" t="s">
        <v>20</v>
      </c>
    </row>
    <row r="2" spans="1:11" ht="15.75" hidden="1" x14ac:dyDescent="0.25">
      <c r="A2" s="3" t="s">
        <v>0</v>
      </c>
      <c r="B2" t="s">
        <v>226</v>
      </c>
      <c r="C2" t="s">
        <v>227</v>
      </c>
      <c r="D2" t="s">
        <v>228</v>
      </c>
      <c r="E2" t="s">
        <v>229</v>
      </c>
      <c r="F2" t="s">
        <v>230</v>
      </c>
      <c r="G2" t="s">
        <v>231</v>
      </c>
      <c r="H2" t="s">
        <v>232</v>
      </c>
      <c r="I2" t="s">
        <v>233</v>
      </c>
      <c r="J2" t="s">
        <v>234</v>
      </c>
      <c r="K2" t="s">
        <v>235</v>
      </c>
    </row>
    <row r="3" spans="1:11" ht="15.75" hidden="1" x14ac:dyDescent="0.25">
      <c r="A3" s="3" t="s">
        <v>155</v>
      </c>
      <c r="B3" t="s">
        <v>236</v>
      </c>
      <c r="C3" t="s">
        <v>237</v>
      </c>
      <c r="D3" t="s">
        <v>238</v>
      </c>
      <c r="E3" t="s">
        <v>239</v>
      </c>
      <c r="F3" t="s">
        <v>240</v>
      </c>
      <c r="G3" t="s">
        <v>241</v>
      </c>
      <c r="H3" t="s">
        <v>242</v>
      </c>
      <c r="I3" t="s">
        <v>243</v>
      </c>
      <c r="J3" t="s">
        <v>244</v>
      </c>
      <c r="K3" t="s">
        <v>245</v>
      </c>
    </row>
    <row r="4" spans="1:11" ht="15.75" hidden="1" x14ac:dyDescent="0.25">
      <c r="A4" s="3" t="s">
        <v>21</v>
      </c>
      <c r="B4" t="s">
        <v>22</v>
      </c>
      <c r="C4" t="s">
        <v>22</v>
      </c>
      <c r="D4" t="s">
        <v>22</v>
      </c>
      <c r="E4" t="s">
        <v>22</v>
      </c>
      <c r="F4" t="s">
        <v>22</v>
      </c>
      <c r="G4" t="s">
        <v>22</v>
      </c>
      <c r="H4" t="s">
        <v>22</v>
      </c>
      <c r="I4" t="s">
        <v>22</v>
      </c>
      <c r="J4" t="s">
        <v>22</v>
      </c>
      <c r="K4" t="s">
        <v>22</v>
      </c>
    </row>
    <row r="5" spans="1:11" ht="15.75" hidden="1" x14ac:dyDescent="0.25">
      <c r="A5" s="3" t="s">
        <v>23</v>
      </c>
      <c r="B5" t="s">
        <v>24</v>
      </c>
      <c r="C5" t="s">
        <v>24</v>
      </c>
      <c r="D5" t="s">
        <v>24</v>
      </c>
      <c r="E5" t="s">
        <v>24</v>
      </c>
      <c r="F5" t="s">
        <v>24</v>
      </c>
      <c r="G5" t="s">
        <v>24</v>
      </c>
      <c r="H5" t="s">
        <v>24</v>
      </c>
      <c r="I5" t="s">
        <v>24</v>
      </c>
      <c r="J5" t="s">
        <v>24</v>
      </c>
      <c r="K5" t="s">
        <v>24</v>
      </c>
    </row>
    <row r="6" spans="1:11" ht="15.75" hidden="1" x14ac:dyDescent="0.25">
      <c r="A6" s="3" t="s">
        <v>25</v>
      </c>
      <c r="B6" t="s">
        <v>26</v>
      </c>
      <c r="C6" t="s">
        <v>26</v>
      </c>
      <c r="D6" t="s">
        <v>26</v>
      </c>
      <c r="E6" t="s">
        <v>26</v>
      </c>
      <c r="F6" t="s">
        <v>26</v>
      </c>
      <c r="G6" t="s">
        <v>26</v>
      </c>
      <c r="H6" t="s">
        <v>26</v>
      </c>
      <c r="I6" t="s">
        <v>26</v>
      </c>
      <c r="J6" t="s">
        <v>26</v>
      </c>
      <c r="K6" t="s">
        <v>26</v>
      </c>
    </row>
    <row r="7" spans="1:11" ht="15.75" hidden="1" x14ac:dyDescent="0.25">
      <c r="A7" s="3" t="s">
        <v>27</v>
      </c>
      <c r="B7" t="s">
        <v>28</v>
      </c>
      <c r="C7" t="s">
        <v>28</v>
      </c>
      <c r="D7" t="s">
        <v>28</v>
      </c>
      <c r="E7" t="s">
        <v>28</v>
      </c>
      <c r="F7" t="s">
        <v>28</v>
      </c>
      <c r="G7" t="s">
        <v>28</v>
      </c>
      <c r="H7" t="s">
        <v>28</v>
      </c>
      <c r="I7" t="s">
        <v>28</v>
      </c>
      <c r="J7" t="s">
        <v>28</v>
      </c>
      <c r="K7" t="s">
        <v>28</v>
      </c>
    </row>
    <row r="8" spans="1:11" ht="15.75" hidden="1" x14ac:dyDescent="0.25">
      <c r="A8" s="3" t="s">
        <v>29</v>
      </c>
      <c r="B8" t="s">
        <v>30</v>
      </c>
      <c r="C8" t="s">
        <v>30</v>
      </c>
      <c r="D8" t="s">
        <v>30</v>
      </c>
      <c r="E8" t="s">
        <v>30</v>
      </c>
      <c r="F8" t="s">
        <v>30</v>
      </c>
      <c r="G8" t="s">
        <v>30</v>
      </c>
      <c r="H8" t="s">
        <v>30</v>
      </c>
      <c r="I8" t="s">
        <v>30</v>
      </c>
      <c r="J8" t="s">
        <v>30</v>
      </c>
      <c r="K8" t="s">
        <v>30</v>
      </c>
    </row>
    <row r="9" spans="1:11" ht="15.75" hidden="1" x14ac:dyDescent="0.25">
      <c r="A9" s="3" t="s">
        <v>31</v>
      </c>
      <c r="B9" t="s">
        <v>32</v>
      </c>
      <c r="C9" t="s">
        <v>32</v>
      </c>
      <c r="D9" t="s">
        <v>32</v>
      </c>
      <c r="E9" t="s">
        <v>32</v>
      </c>
      <c r="F9" t="s">
        <v>32</v>
      </c>
      <c r="G9" t="s">
        <v>32</v>
      </c>
      <c r="H9" t="s">
        <v>32</v>
      </c>
      <c r="I9" t="s">
        <v>32</v>
      </c>
      <c r="J9" t="s">
        <v>32</v>
      </c>
      <c r="K9" t="s">
        <v>32</v>
      </c>
    </row>
    <row r="10" spans="1:11" ht="15.75" hidden="1" x14ac:dyDescent="0.25">
      <c r="A10" s="3" t="s">
        <v>33</v>
      </c>
      <c r="B10" t="s">
        <v>34</v>
      </c>
      <c r="C10" t="s">
        <v>34</v>
      </c>
      <c r="D10" t="s">
        <v>34</v>
      </c>
      <c r="E10" t="s">
        <v>34</v>
      </c>
      <c r="F10" t="s">
        <v>34</v>
      </c>
      <c r="G10" t="s">
        <v>34</v>
      </c>
      <c r="H10" t="s">
        <v>34</v>
      </c>
      <c r="I10" t="s">
        <v>34</v>
      </c>
      <c r="J10" t="s">
        <v>34</v>
      </c>
      <c r="K10" t="s">
        <v>34</v>
      </c>
    </row>
    <row r="11" spans="1:11" ht="15.75" hidden="1" x14ac:dyDescent="0.25">
      <c r="A11" s="3" t="s">
        <v>35</v>
      </c>
      <c r="B11" t="s">
        <v>36</v>
      </c>
      <c r="C11" t="s">
        <v>36</v>
      </c>
      <c r="D11" t="s">
        <v>36</v>
      </c>
      <c r="E11" t="s">
        <v>36</v>
      </c>
      <c r="F11" t="s">
        <v>36</v>
      </c>
      <c r="G11" t="s">
        <v>36</v>
      </c>
      <c r="H11" t="s">
        <v>36</v>
      </c>
      <c r="I11" t="s">
        <v>36</v>
      </c>
      <c r="J11" t="s">
        <v>36</v>
      </c>
      <c r="K11" t="s">
        <v>36</v>
      </c>
    </row>
    <row r="12" spans="1:11" s="2" customFormat="1" ht="15.75" hidden="1" x14ac:dyDescent="0.25">
      <c r="A12" s="3" t="s">
        <v>37</v>
      </c>
      <c r="B12" t="s">
        <v>38</v>
      </c>
      <c r="C12" t="s">
        <v>38</v>
      </c>
      <c r="D12" t="s">
        <v>38</v>
      </c>
      <c r="E12" t="s">
        <v>38</v>
      </c>
      <c r="F12" t="s">
        <v>38</v>
      </c>
      <c r="G12" t="s">
        <v>38</v>
      </c>
      <c r="H12" t="s">
        <v>38</v>
      </c>
      <c r="I12" t="s">
        <v>38</v>
      </c>
      <c r="J12" t="s">
        <v>38</v>
      </c>
      <c r="K12" t="s">
        <v>38</v>
      </c>
    </row>
    <row r="13" spans="1:11" ht="30" x14ac:dyDescent="0.25">
      <c r="A13" s="7" t="s">
        <v>39</v>
      </c>
      <c r="B13" s="2" t="s">
        <v>246</v>
      </c>
      <c r="C13" s="2" t="s">
        <v>247</v>
      </c>
      <c r="D13" s="2" t="s">
        <v>248</v>
      </c>
      <c r="E13" s="2" t="s">
        <v>249</v>
      </c>
      <c r="F13" s="2" t="s">
        <v>250</v>
      </c>
      <c r="G13" s="2" t="s">
        <v>251</v>
      </c>
      <c r="H13" s="64" t="s">
        <v>252</v>
      </c>
      <c r="I13" s="64" t="s">
        <v>253</v>
      </c>
      <c r="J13" s="2" t="s">
        <v>254</v>
      </c>
      <c r="K13" s="2" t="s">
        <v>255</v>
      </c>
    </row>
    <row r="14" spans="1:11" s="1" customFormat="1" ht="15.75" x14ac:dyDescent="0.25">
      <c r="A14" s="3" t="s">
        <v>50</v>
      </c>
      <c r="B14" t="s">
        <v>56</v>
      </c>
      <c r="C14" t="s">
        <v>256</v>
      </c>
      <c r="D14" t="s">
        <v>257</v>
      </c>
      <c r="E14" t="s">
        <v>258</v>
      </c>
      <c r="F14" t="s">
        <v>259</v>
      </c>
      <c r="G14" t="s">
        <v>260</v>
      </c>
      <c r="H14" t="s">
        <v>261</v>
      </c>
      <c r="I14" t="s">
        <v>56</v>
      </c>
      <c r="J14" t="s">
        <v>262</v>
      </c>
      <c r="K14" t="s">
        <v>263</v>
      </c>
    </row>
    <row r="15" spans="1:11" s="21" customFormat="1" ht="15.75" x14ac:dyDescent="0.25">
      <c r="A15" s="22" t="s">
        <v>59</v>
      </c>
      <c r="B15" s="1" t="s">
        <v>264</v>
      </c>
      <c r="C15" s="1" t="s">
        <v>265</v>
      </c>
      <c r="D15" s="1" t="s">
        <v>266</v>
      </c>
      <c r="E15" s="1" t="s">
        <v>267</v>
      </c>
      <c r="F15" s="1" t="s">
        <v>268</v>
      </c>
      <c r="G15" s="1" t="s">
        <v>269</v>
      </c>
      <c r="H15" s="1" t="s">
        <v>270</v>
      </c>
      <c r="I15" s="1" t="s">
        <v>271</v>
      </c>
      <c r="J15" s="1" t="s">
        <v>272</v>
      </c>
      <c r="K15" s="1">
        <v>8095798888</v>
      </c>
    </row>
    <row r="16" spans="1:11" ht="15.75" x14ac:dyDescent="0.25">
      <c r="A16" s="23" t="s">
        <v>69</v>
      </c>
      <c r="B16" s="21">
        <v>8499189969</v>
      </c>
      <c r="C16" s="21">
        <v>8492128908</v>
      </c>
      <c r="D16" s="21">
        <v>8292804276</v>
      </c>
      <c r="E16" s="21">
        <v>8295055200</v>
      </c>
      <c r="F16" s="21" t="s">
        <v>273</v>
      </c>
      <c r="G16" s="21">
        <v>8296749150</v>
      </c>
      <c r="H16" s="21" t="s">
        <v>274</v>
      </c>
      <c r="I16" s="21">
        <v>8096647193</v>
      </c>
      <c r="J16" s="21">
        <v>8099071154</v>
      </c>
      <c r="K16" s="21">
        <v>8292526434</v>
      </c>
    </row>
    <row r="17" spans="1:11" s="2" customFormat="1" ht="15.75" x14ac:dyDescent="0.25">
      <c r="A17" s="3" t="s">
        <v>72</v>
      </c>
      <c r="B17" t="s">
        <v>275</v>
      </c>
      <c r="C17" t="s">
        <v>276</v>
      </c>
      <c r="D17" t="s">
        <v>277</v>
      </c>
      <c r="E17" t="s">
        <v>278</v>
      </c>
      <c r="F17" t="s">
        <v>279</v>
      </c>
      <c r="G17" t="s">
        <v>280</v>
      </c>
      <c r="H17" t="s">
        <v>281</v>
      </c>
      <c r="I17" t="s">
        <v>282</v>
      </c>
      <c r="J17" t="s">
        <v>283</v>
      </c>
      <c r="K17" t="s">
        <v>284</v>
      </c>
    </row>
    <row r="18" spans="1:11" ht="30" x14ac:dyDescent="0.25">
      <c r="A18" s="7" t="s">
        <v>83</v>
      </c>
      <c r="B18" s="2" t="s">
        <v>285</v>
      </c>
      <c r="C18" s="2" t="s">
        <v>286</v>
      </c>
      <c r="D18" s="2" t="s">
        <v>287</v>
      </c>
      <c r="E18" s="2" t="s">
        <v>288</v>
      </c>
      <c r="F18" s="2" t="s">
        <v>289</v>
      </c>
      <c r="G18" s="2" t="s">
        <v>290</v>
      </c>
      <c r="H18" s="2" t="s">
        <v>291</v>
      </c>
      <c r="I18" s="2" t="s">
        <v>292</v>
      </c>
      <c r="J18" s="2" t="s">
        <v>293</v>
      </c>
      <c r="K18" s="2" t="s">
        <v>294</v>
      </c>
    </row>
    <row r="19" spans="1:11" ht="15.75" x14ac:dyDescent="0.25">
      <c r="A19" s="3" t="s">
        <v>94</v>
      </c>
      <c r="B19" t="s">
        <v>107</v>
      </c>
      <c r="C19" t="s">
        <v>95</v>
      </c>
      <c r="D19" t="s">
        <v>295</v>
      </c>
      <c r="E19" t="s">
        <v>95</v>
      </c>
      <c r="F19" t="s">
        <v>296</v>
      </c>
      <c r="G19" t="s">
        <v>297</v>
      </c>
      <c r="H19" t="s">
        <v>298</v>
      </c>
      <c r="I19" t="s">
        <v>95</v>
      </c>
      <c r="J19" t="s">
        <v>107</v>
      </c>
      <c r="K19" t="s">
        <v>102</v>
      </c>
    </row>
    <row r="20" spans="1:11" ht="15.75" x14ac:dyDescent="0.25">
      <c r="A20" s="3" t="s">
        <v>101</v>
      </c>
      <c r="B20" t="s">
        <v>102</v>
      </c>
      <c r="C20" t="s">
        <v>299</v>
      </c>
      <c r="D20" t="s">
        <v>300</v>
      </c>
      <c r="E20" t="s">
        <v>107</v>
      </c>
      <c r="F20" t="s">
        <v>301</v>
      </c>
      <c r="G20" t="s">
        <v>107</v>
      </c>
      <c r="H20" t="s">
        <v>302</v>
      </c>
      <c r="I20" t="s">
        <v>102</v>
      </c>
      <c r="J20" t="s">
        <v>102</v>
      </c>
      <c r="K20" t="s">
        <v>102</v>
      </c>
    </row>
    <row r="21" spans="1:11" s="13" customFormat="1" ht="15.75" x14ac:dyDescent="0.25">
      <c r="A21" s="3" t="s">
        <v>113</v>
      </c>
      <c r="B21" t="s">
        <v>114</v>
      </c>
      <c r="C21" t="s">
        <v>114</v>
      </c>
      <c r="D21" t="s">
        <v>114</v>
      </c>
      <c r="E21" t="s">
        <v>115</v>
      </c>
      <c r="F21" t="s">
        <v>114</v>
      </c>
      <c r="G21" t="s">
        <v>114</v>
      </c>
      <c r="H21" t="s">
        <v>114</v>
      </c>
      <c r="I21" t="s">
        <v>114</v>
      </c>
      <c r="J21" t="s">
        <v>114</v>
      </c>
      <c r="K21" t="s">
        <v>114</v>
      </c>
    </row>
    <row r="22" spans="1:11" ht="60" x14ac:dyDescent="0.25">
      <c r="A22" s="24" t="s">
        <v>126</v>
      </c>
      <c r="B22" s="13" t="s">
        <v>303</v>
      </c>
      <c r="C22" s="13" t="s">
        <v>304</v>
      </c>
      <c r="D22" s="13" t="s">
        <v>304</v>
      </c>
      <c r="E22" s="13" t="s">
        <v>305</v>
      </c>
      <c r="F22" s="13" t="s">
        <v>306</v>
      </c>
      <c r="G22" s="13" t="s">
        <v>307</v>
      </c>
      <c r="H22" s="13" t="s">
        <v>308</v>
      </c>
      <c r="I22" s="13" t="s">
        <v>309</v>
      </c>
      <c r="J22" s="13" t="s">
        <v>310</v>
      </c>
      <c r="K22" s="13" t="s">
        <v>311</v>
      </c>
    </row>
    <row r="23" spans="1:11" ht="15.75" x14ac:dyDescent="0.25">
      <c r="A23" s="3" t="s">
        <v>136</v>
      </c>
    </row>
    <row r="24" spans="1:11" s="17" customFormat="1" ht="15.75" x14ac:dyDescent="0.25">
      <c r="A24" s="16" t="s">
        <v>143</v>
      </c>
      <c r="B24" s="26" t="str">
        <f t="shared" ref="B24:K24" ca="1" si="0">IF(B25=TODAY(),
"",
IF(B25&gt;TODAY(),
"",
""))</f>
        <v/>
      </c>
      <c r="C24" s="27" t="str">
        <f t="shared" ca="1" si="0"/>
        <v/>
      </c>
      <c r="D24" s="27" t="str">
        <f t="shared" ca="1" si="0"/>
        <v/>
      </c>
      <c r="E24" s="27" t="str">
        <f t="shared" ca="1" si="0"/>
        <v/>
      </c>
      <c r="F24" s="27" t="str">
        <f t="shared" ca="1" si="0"/>
        <v/>
      </c>
      <c r="G24" s="27" t="str">
        <f t="shared" ca="1" si="0"/>
        <v/>
      </c>
      <c r="H24" s="27" t="str">
        <f t="shared" ca="1" si="0"/>
        <v/>
      </c>
      <c r="I24" s="27" t="str">
        <f t="shared" ca="1" si="0"/>
        <v/>
      </c>
      <c r="J24" s="27" t="str">
        <f t="shared" ca="1" si="0"/>
        <v/>
      </c>
      <c r="K24" s="27" t="str">
        <f t="shared" ca="1" si="0"/>
        <v/>
      </c>
    </row>
    <row r="25" spans="1:11" x14ac:dyDescent="0.25">
      <c r="A25" s="34"/>
      <c r="B25" s="28"/>
    </row>
    <row r="26" spans="1:11" ht="15.75" x14ac:dyDescent="0.25">
      <c r="A26" s="3" t="s">
        <v>144</v>
      </c>
      <c r="B26" s="2" t="str">
        <f t="shared" ref="B26:I26" ca="1" si="1">IF(B27=TODAY(),
"",
IF(B27&gt;TODAY(),
"",
""))</f>
        <v/>
      </c>
      <c r="C26" s="25" t="str">
        <f t="shared" ca="1" si="1"/>
        <v/>
      </c>
      <c r="D26" s="8" t="str">
        <f t="shared" ca="1" si="1"/>
        <v/>
      </c>
      <c r="E26" s="8" t="str">
        <f t="shared" ca="1" si="1"/>
        <v/>
      </c>
      <c r="F26" s="8" t="str">
        <f t="shared" ca="1" si="1"/>
        <v/>
      </c>
      <c r="G26" s="8" t="str">
        <f t="shared" ca="1" si="1"/>
        <v/>
      </c>
      <c r="H26" s="8" t="str">
        <f t="shared" ca="1" si="1"/>
        <v/>
      </c>
      <c r="I26" s="8" t="str">
        <f t="shared" ca="1" si="1"/>
        <v/>
      </c>
      <c r="J26" s="8" t="str">
        <f ca="1">IF(J27=TODAY(),
"notificacion",
IF(J27&gt;TODAY(),
"",
""))</f>
        <v/>
      </c>
    </row>
    <row r="27" spans="1:11" x14ac:dyDescent="0.25">
      <c r="A27" s="34"/>
    </row>
    <row r="28" spans="1:11" ht="15.75" x14ac:dyDescent="0.25">
      <c r="A28" s="3" t="s">
        <v>145</v>
      </c>
      <c r="B28" s="2" t="str">
        <f t="shared" ref="B28:I28" ca="1" si="2">IF(B29=TODAY(),
"",
IF(B29&gt;TODAY(),
"",
""))</f>
        <v/>
      </c>
      <c r="C28" s="25" t="str">
        <f t="shared" ca="1" si="2"/>
        <v/>
      </c>
      <c r="D28" s="8" t="str">
        <f t="shared" ca="1" si="2"/>
        <v/>
      </c>
      <c r="E28" s="8" t="str">
        <f t="shared" ca="1" si="2"/>
        <v/>
      </c>
      <c r="F28" s="8" t="str">
        <f t="shared" ca="1" si="2"/>
        <v/>
      </c>
      <c r="G28" s="8" t="str">
        <f t="shared" ca="1" si="2"/>
        <v/>
      </c>
      <c r="H28" s="8" t="str">
        <f t="shared" ca="1" si="2"/>
        <v/>
      </c>
      <c r="I28" s="8" t="str">
        <f t="shared" ca="1" si="2"/>
        <v/>
      </c>
      <c r="J28" s="8" t="str">
        <f ca="1">IF(J29=TODAY(),
"notificacion",
IF(J29&gt;TODAY(),
"",
""))</f>
        <v/>
      </c>
    </row>
    <row r="29" spans="1:11" ht="15.75" x14ac:dyDescent="0.25">
      <c r="A29" s="3"/>
      <c r="B29" s="28"/>
    </row>
  </sheetData>
  <conditionalFormatting sqref="B28:J28">
    <cfRule type="containsText" dxfId="22" priority="1" operator="containsText" text="caducada">
      <formula>NOT(ISERROR(SEARCH("caducada",B28)))</formula>
    </cfRule>
    <cfRule type="containsText" dxfId="21" priority="2" operator="containsText" text="notificacion">
      <formula>NOT(ISERROR(SEARCH("notificacion",B28)))</formula>
    </cfRule>
  </conditionalFormatting>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29"/>
  <sheetViews>
    <sheetView topLeftCell="A13" workbookViewId="0">
      <pane xSplit="1" topLeftCell="H1" activePane="topRight" state="frozen"/>
      <selection activeCell="A13" sqref="A13"/>
      <selection pane="topRight" activeCell="K26" sqref="K26"/>
    </sheetView>
  </sheetViews>
  <sheetFormatPr baseColWidth="10" defaultColWidth="11.42578125" defaultRowHeight="15" x14ac:dyDescent="0.25"/>
  <cols>
    <col min="1" max="1" width="22.28515625" customWidth="1"/>
    <col min="2" max="11" width="29.28515625" customWidth="1"/>
  </cols>
  <sheetData>
    <row r="1" spans="1:11" hidden="1" x14ac:dyDescent="0.25">
      <c r="A1" t="s">
        <v>10</v>
      </c>
      <c r="B1" t="s">
        <v>11</v>
      </c>
      <c r="C1" t="s">
        <v>12</v>
      </c>
      <c r="D1" t="s">
        <v>13</v>
      </c>
      <c r="E1" t="s">
        <v>14</v>
      </c>
      <c r="F1" t="s">
        <v>15</v>
      </c>
      <c r="G1" t="s">
        <v>16</v>
      </c>
      <c r="H1" t="s">
        <v>17</v>
      </c>
      <c r="I1" t="s">
        <v>18</v>
      </c>
      <c r="J1" t="s">
        <v>19</v>
      </c>
    </row>
    <row r="2" spans="1:11" hidden="1" x14ac:dyDescent="0.25">
      <c r="A2" t="s">
        <v>0</v>
      </c>
      <c r="B2" t="s">
        <v>312</v>
      </c>
      <c r="C2" t="s">
        <v>313</v>
      </c>
      <c r="D2" t="s">
        <v>314</v>
      </c>
      <c r="E2" t="s">
        <v>315</v>
      </c>
      <c r="F2" t="s">
        <v>316</v>
      </c>
      <c r="G2" t="s">
        <v>317</v>
      </c>
      <c r="H2" t="s">
        <v>318</v>
      </c>
      <c r="I2" t="s">
        <v>319</v>
      </c>
      <c r="J2" t="s">
        <v>320</v>
      </c>
    </row>
    <row r="3" spans="1:11" hidden="1" x14ac:dyDescent="0.25">
      <c r="A3" t="s">
        <v>155</v>
      </c>
      <c r="B3" t="s">
        <v>321</v>
      </c>
      <c r="C3" t="s">
        <v>322</v>
      </c>
      <c r="D3" t="s">
        <v>323</v>
      </c>
      <c r="E3" t="s">
        <v>324</v>
      </c>
      <c r="F3" t="s">
        <v>325</v>
      </c>
      <c r="G3" t="s">
        <v>326</v>
      </c>
      <c r="H3" t="s">
        <v>327</v>
      </c>
      <c r="I3" t="s">
        <v>328</v>
      </c>
      <c r="J3" t="s">
        <v>329</v>
      </c>
    </row>
    <row r="4" spans="1:11" hidden="1" x14ac:dyDescent="0.25">
      <c r="A4" t="s">
        <v>21</v>
      </c>
      <c r="B4" t="s">
        <v>22</v>
      </c>
      <c r="C4" t="s">
        <v>22</v>
      </c>
      <c r="D4" t="s">
        <v>22</v>
      </c>
      <c r="E4" t="s">
        <v>22</v>
      </c>
      <c r="F4" t="s">
        <v>22</v>
      </c>
      <c r="G4" t="s">
        <v>22</v>
      </c>
      <c r="H4" t="s">
        <v>22</v>
      </c>
      <c r="I4" t="s">
        <v>22</v>
      </c>
      <c r="J4" t="s">
        <v>22</v>
      </c>
      <c r="K4" s="39"/>
    </row>
    <row r="5" spans="1:11" ht="30" hidden="1" x14ac:dyDescent="0.25">
      <c r="A5" s="37" t="s">
        <v>23</v>
      </c>
      <c r="B5" s="39" t="s">
        <v>24</v>
      </c>
      <c r="C5" s="39" t="s">
        <v>24</v>
      </c>
      <c r="D5" s="39" t="s">
        <v>24</v>
      </c>
      <c r="E5" s="39" t="s">
        <v>24</v>
      </c>
      <c r="F5" s="39" t="s">
        <v>24</v>
      </c>
      <c r="G5" s="39" t="s">
        <v>24</v>
      </c>
      <c r="H5" s="39" t="s">
        <v>24</v>
      </c>
      <c r="I5" s="39" t="s">
        <v>24</v>
      </c>
      <c r="J5" s="39" t="s">
        <v>24</v>
      </c>
      <c r="K5" s="44"/>
    </row>
    <row r="6" spans="1:11" ht="15.75" hidden="1" x14ac:dyDescent="0.25">
      <c r="A6" s="42" t="s">
        <v>25</v>
      </c>
      <c r="B6" s="44" t="s">
        <v>26</v>
      </c>
      <c r="C6" s="44" t="s">
        <v>26</v>
      </c>
      <c r="D6" s="44" t="s">
        <v>26</v>
      </c>
      <c r="E6" s="44" t="s">
        <v>26</v>
      </c>
      <c r="F6" s="44" t="s">
        <v>26</v>
      </c>
      <c r="G6" s="44" t="s">
        <v>26</v>
      </c>
      <c r="H6" s="44" t="s">
        <v>26</v>
      </c>
      <c r="I6" s="44" t="s">
        <v>26</v>
      </c>
      <c r="J6" s="44" t="s">
        <v>26</v>
      </c>
      <c r="K6" s="45"/>
    </row>
    <row r="7" spans="1:11" ht="15.75" hidden="1" x14ac:dyDescent="0.25">
      <c r="A7" s="46" t="s">
        <v>27</v>
      </c>
      <c r="B7" s="45" t="s">
        <v>28</v>
      </c>
      <c r="C7" s="45" t="s">
        <v>28</v>
      </c>
      <c r="D7" s="45" t="s">
        <v>28</v>
      </c>
      <c r="E7" s="45" t="s">
        <v>28</v>
      </c>
      <c r="F7" s="45" t="s">
        <v>28</v>
      </c>
      <c r="G7" s="45" t="s">
        <v>28</v>
      </c>
      <c r="H7" s="45" t="s">
        <v>28</v>
      </c>
      <c r="I7" s="45" t="s">
        <v>28</v>
      </c>
      <c r="J7" s="45" t="s">
        <v>28</v>
      </c>
      <c r="K7" s="48"/>
    </row>
    <row r="8" spans="1:11" ht="15.75" hidden="1" x14ac:dyDescent="0.25">
      <c r="A8" s="47" t="s">
        <v>29</v>
      </c>
      <c r="B8" s="48" t="s">
        <v>30</v>
      </c>
      <c r="C8" s="48" t="s">
        <v>30</v>
      </c>
      <c r="D8" s="48" t="s">
        <v>30</v>
      </c>
      <c r="E8" s="48" t="s">
        <v>30</v>
      </c>
      <c r="F8" s="48" t="s">
        <v>30</v>
      </c>
      <c r="G8" s="48" t="s">
        <v>30</v>
      </c>
      <c r="H8" s="48" t="s">
        <v>30</v>
      </c>
      <c r="I8" s="48" t="s">
        <v>30</v>
      </c>
      <c r="J8" s="48" t="s">
        <v>30</v>
      </c>
      <c r="K8" s="43"/>
    </row>
    <row r="9" spans="1:11" ht="15.75" hidden="1" x14ac:dyDescent="0.25">
      <c r="A9" s="42" t="s">
        <v>31</v>
      </c>
      <c r="B9" s="43" t="s">
        <v>32</v>
      </c>
      <c r="C9" s="43" t="s">
        <v>32</v>
      </c>
      <c r="D9" s="43" t="s">
        <v>32</v>
      </c>
      <c r="E9" s="43" t="s">
        <v>32</v>
      </c>
      <c r="F9" s="43" t="s">
        <v>32</v>
      </c>
      <c r="G9" s="43" t="s">
        <v>32</v>
      </c>
      <c r="H9" s="43" t="s">
        <v>32</v>
      </c>
      <c r="I9" s="43" t="s">
        <v>32</v>
      </c>
      <c r="J9" s="43" t="s">
        <v>32</v>
      </c>
      <c r="K9" s="38"/>
    </row>
    <row r="10" spans="1:11" ht="15.75" hidden="1" x14ac:dyDescent="0.25">
      <c r="A10" s="37" t="s">
        <v>33</v>
      </c>
      <c r="B10" s="38" t="s">
        <v>34</v>
      </c>
      <c r="C10" s="38" t="s">
        <v>34</v>
      </c>
      <c r="D10" s="38" t="s">
        <v>34</v>
      </c>
      <c r="E10" s="38" t="s">
        <v>34</v>
      </c>
      <c r="F10" s="38" t="s">
        <v>34</v>
      </c>
      <c r="G10" s="38" t="s">
        <v>34</v>
      </c>
      <c r="H10" s="38" t="s">
        <v>34</v>
      </c>
      <c r="I10" s="38" t="s">
        <v>34</v>
      </c>
      <c r="J10" s="38" t="s">
        <v>34</v>
      </c>
      <c r="K10" s="43"/>
    </row>
    <row r="11" spans="1:11" ht="15.75" hidden="1" x14ac:dyDescent="0.25">
      <c r="A11" s="42" t="s">
        <v>35</v>
      </c>
      <c r="B11" s="43" t="s">
        <v>36</v>
      </c>
      <c r="C11" s="43" t="s">
        <v>36</v>
      </c>
      <c r="D11" s="43" t="s">
        <v>36</v>
      </c>
      <c r="E11" s="43" t="s">
        <v>36</v>
      </c>
      <c r="F11" s="43" t="s">
        <v>36</v>
      </c>
      <c r="G11" s="43" t="s">
        <v>36</v>
      </c>
      <c r="H11" s="43" t="s">
        <v>36</v>
      </c>
      <c r="I11" s="43" t="s">
        <v>36</v>
      </c>
      <c r="J11" s="43" t="s">
        <v>36</v>
      </c>
      <c r="K11" s="44"/>
    </row>
    <row r="12" spans="1:11" s="35" customFormat="1" ht="15.75" hidden="1" x14ac:dyDescent="0.25">
      <c r="A12" s="42" t="s">
        <v>37</v>
      </c>
      <c r="B12" s="44" t="s">
        <v>38</v>
      </c>
      <c r="C12" s="44" t="s">
        <v>38</v>
      </c>
      <c r="D12" s="44" t="s">
        <v>38</v>
      </c>
      <c r="E12" s="44" t="s">
        <v>38</v>
      </c>
      <c r="F12" s="44" t="s">
        <v>38</v>
      </c>
      <c r="G12" s="44" t="s">
        <v>38</v>
      </c>
      <c r="H12" s="44" t="s">
        <v>38</v>
      </c>
      <c r="I12" s="44" t="s">
        <v>38</v>
      </c>
      <c r="J12" s="44" t="s">
        <v>38</v>
      </c>
      <c r="K12" s="41"/>
    </row>
    <row r="13" spans="1:11" s="35" customFormat="1" ht="15.75" x14ac:dyDescent="0.25">
      <c r="A13" s="53" t="s">
        <v>39</v>
      </c>
      <c r="B13" s="38" t="s">
        <v>330</v>
      </c>
      <c r="C13" s="41" t="s">
        <v>331</v>
      </c>
      <c r="D13" s="41" t="s">
        <v>332</v>
      </c>
      <c r="E13" s="41" t="s">
        <v>333</v>
      </c>
      <c r="F13" s="65" t="s">
        <v>334</v>
      </c>
      <c r="G13" s="41" t="s">
        <v>335</v>
      </c>
      <c r="H13" s="65" t="s">
        <v>336</v>
      </c>
      <c r="I13" s="41" t="s">
        <v>337</v>
      </c>
      <c r="J13" s="41" t="s">
        <v>338</v>
      </c>
    </row>
    <row r="14" spans="1:11" ht="15.75" x14ac:dyDescent="0.25">
      <c r="A14" s="53" t="s">
        <v>50</v>
      </c>
      <c r="B14" s="35" t="s">
        <v>339</v>
      </c>
      <c r="C14" s="35" t="s">
        <v>340</v>
      </c>
      <c r="D14" s="35" t="s">
        <v>341</v>
      </c>
      <c r="E14" s="35" t="s">
        <v>342</v>
      </c>
      <c r="F14" s="35" t="s">
        <v>343</v>
      </c>
      <c r="G14" s="35" t="s">
        <v>344</v>
      </c>
      <c r="H14" s="35" t="s">
        <v>56</v>
      </c>
      <c r="I14" s="35" t="s">
        <v>345</v>
      </c>
      <c r="J14" s="35" t="s">
        <v>338</v>
      </c>
      <c r="K14" s="60"/>
    </row>
    <row r="15" spans="1:11" s="1" customFormat="1" ht="15.75" x14ac:dyDescent="0.25">
      <c r="A15" s="42" t="s">
        <v>59</v>
      </c>
      <c r="B15" s="52" t="s">
        <v>346</v>
      </c>
      <c r="C15" s="43" t="s">
        <v>347</v>
      </c>
      <c r="D15" s="43" t="s">
        <v>348</v>
      </c>
      <c r="E15" s="43">
        <v>8094714000</v>
      </c>
      <c r="F15" s="43" t="s">
        <v>349</v>
      </c>
      <c r="G15" s="43" t="s">
        <v>350</v>
      </c>
      <c r="H15" s="43" t="s">
        <v>351</v>
      </c>
      <c r="I15" s="43">
        <v>8092956555</v>
      </c>
      <c r="J15" s="43" t="s">
        <v>352</v>
      </c>
      <c r="K15" s="58"/>
    </row>
    <row r="16" spans="1:11" ht="15.75" x14ac:dyDescent="0.25">
      <c r="A16" s="46" t="s">
        <v>69</v>
      </c>
      <c r="B16" s="58" t="s">
        <v>353</v>
      </c>
      <c r="C16" s="58">
        <v>8096058341</v>
      </c>
      <c r="D16" s="58">
        <v>8099315785</v>
      </c>
      <c r="E16" s="58">
        <v>8299275266</v>
      </c>
      <c r="F16" s="58" t="s">
        <v>354</v>
      </c>
      <c r="G16" s="58">
        <v>8298695917</v>
      </c>
      <c r="H16" s="58">
        <v>8092121537</v>
      </c>
      <c r="I16" s="58">
        <v>8095176335</v>
      </c>
      <c r="J16" s="58">
        <v>8097276478</v>
      </c>
      <c r="K16" s="60"/>
    </row>
    <row r="17" spans="1:11" s="13" customFormat="1" ht="15.75" x14ac:dyDescent="0.25">
      <c r="A17" s="51" t="s">
        <v>72</v>
      </c>
      <c r="B17" s="52" t="s">
        <v>355</v>
      </c>
      <c r="C17" s="43" t="s">
        <v>356</v>
      </c>
      <c r="D17" s="43" t="s">
        <v>357</v>
      </c>
      <c r="E17" s="43" t="s">
        <v>358</v>
      </c>
      <c r="F17" s="43" t="s">
        <v>359</v>
      </c>
      <c r="G17" s="43" t="s">
        <v>360</v>
      </c>
      <c r="H17" s="43" t="s">
        <v>361</v>
      </c>
      <c r="I17" s="43" t="s">
        <v>362</v>
      </c>
      <c r="J17" s="43" t="s">
        <v>363</v>
      </c>
      <c r="K17" s="61"/>
    </row>
    <row r="18" spans="1:11" ht="30" x14ac:dyDescent="0.25">
      <c r="A18" s="49" t="s">
        <v>83</v>
      </c>
      <c r="B18" s="50" t="s">
        <v>364</v>
      </c>
      <c r="C18" s="54" t="s">
        <v>365</v>
      </c>
      <c r="D18" s="55" t="s">
        <v>366</v>
      </c>
      <c r="E18" s="55" t="s">
        <v>367</v>
      </c>
      <c r="F18" s="55" t="s">
        <v>368</v>
      </c>
      <c r="G18" s="55" t="s">
        <v>369</v>
      </c>
      <c r="H18" s="55" t="s">
        <v>370</v>
      </c>
      <c r="I18" s="55" t="s">
        <v>371</v>
      </c>
      <c r="J18" s="55" t="s">
        <v>372</v>
      </c>
      <c r="K18" s="60"/>
    </row>
    <row r="19" spans="1:11" ht="15.75" x14ac:dyDescent="0.25">
      <c r="A19" s="51" t="s">
        <v>94</v>
      </c>
      <c r="B19" s="43" t="s">
        <v>95</v>
      </c>
      <c r="C19" s="43" t="s">
        <v>95</v>
      </c>
      <c r="D19" s="43" t="s">
        <v>373</v>
      </c>
      <c r="E19" s="43" t="s">
        <v>107</v>
      </c>
      <c r="F19" s="43" t="s">
        <v>374</v>
      </c>
      <c r="G19" s="43" t="s">
        <v>375</v>
      </c>
      <c r="H19" s="43" t="s">
        <v>96</v>
      </c>
      <c r="I19" s="43" t="s">
        <v>95</v>
      </c>
      <c r="J19" s="43" t="s">
        <v>376</v>
      </c>
      <c r="K19" s="62"/>
    </row>
    <row r="20" spans="1:11" ht="15.75" x14ac:dyDescent="0.25">
      <c r="A20" s="42" t="s">
        <v>101</v>
      </c>
      <c r="B20" s="38" t="s">
        <v>102</v>
      </c>
      <c r="C20" s="40" t="s">
        <v>102</v>
      </c>
      <c r="D20" s="41" t="s">
        <v>366</v>
      </c>
      <c r="E20" s="41" t="s">
        <v>102</v>
      </c>
      <c r="F20" s="41" t="s">
        <v>377</v>
      </c>
      <c r="G20" s="41" t="s">
        <v>378</v>
      </c>
      <c r="H20" s="41" t="s">
        <v>103</v>
      </c>
      <c r="I20" s="41" t="s">
        <v>107</v>
      </c>
      <c r="J20" s="41" t="s">
        <v>95</v>
      </c>
      <c r="K20" s="61"/>
    </row>
    <row r="21" spans="1:11" s="13" customFormat="1" ht="15.75" x14ac:dyDescent="0.25">
      <c r="A21" s="49" t="s">
        <v>113</v>
      </c>
      <c r="B21" s="50" t="s">
        <v>114</v>
      </c>
      <c r="C21" s="50" t="s">
        <v>115</v>
      </c>
      <c r="D21" s="50" t="s">
        <v>114</v>
      </c>
      <c r="E21" s="50" t="s">
        <v>114</v>
      </c>
      <c r="F21" s="50" t="s">
        <v>114</v>
      </c>
      <c r="G21" s="50" t="s">
        <v>114</v>
      </c>
      <c r="H21" s="50" t="s">
        <v>114</v>
      </c>
      <c r="I21" s="50" t="s">
        <v>114</v>
      </c>
      <c r="J21" s="50" t="s">
        <v>114</v>
      </c>
      <c r="K21" s="59"/>
    </row>
    <row r="22" spans="1:11" ht="60" x14ac:dyDescent="0.25">
      <c r="A22" s="49" t="s">
        <v>126</v>
      </c>
      <c r="B22" s="59" t="s">
        <v>379</v>
      </c>
      <c r="C22" s="59" t="s">
        <v>380</v>
      </c>
      <c r="D22" s="59" t="s">
        <v>207</v>
      </c>
      <c r="E22" s="59" t="s">
        <v>381</v>
      </c>
      <c r="F22" s="59" t="s">
        <v>382</v>
      </c>
      <c r="G22" s="59" t="s">
        <v>383</v>
      </c>
      <c r="H22" s="59" t="s">
        <v>384</v>
      </c>
      <c r="I22" s="59" t="s">
        <v>385</v>
      </c>
      <c r="J22" s="59" t="s">
        <v>129</v>
      </c>
    </row>
    <row r="23" spans="1:11" ht="15.75" x14ac:dyDescent="0.25">
      <c r="A23" s="56" t="s">
        <v>136</v>
      </c>
    </row>
    <row r="24" spans="1:11" ht="15.75" x14ac:dyDescent="0.25">
      <c r="A24" s="56" t="s">
        <v>143</v>
      </c>
      <c r="B24" s="2" t="str">
        <f t="shared" ref="B24:I24" ca="1" si="0">IF(B25=TODAY(),
"",
IF(B25&gt;TODAY(),
"",
""))</f>
        <v/>
      </c>
      <c r="C24" s="25" t="str">
        <f t="shared" ca="1" si="0"/>
        <v/>
      </c>
      <c r="D24" s="8" t="str">
        <f t="shared" ca="1" si="0"/>
        <v/>
      </c>
      <c r="E24" s="8" t="str">
        <f t="shared" ca="1" si="0"/>
        <v/>
      </c>
      <c r="F24" s="8" t="str">
        <f t="shared" ca="1" si="0"/>
        <v/>
      </c>
      <c r="G24" s="8" t="str">
        <f t="shared" ca="1" si="0"/>
        <v/>
      </c>
      <c r="H24" s="8" t="str">
        <f t="shared" ca="1" si="0"/>
        <v/>
      </c>
      <c r="I24" s="8" t="str">
        <f t="shared" ca="1" si="0"/>
        <v/>
      </c>
      <c r="J24" s="8" t="str">
        <f ca="1">IF(J25=TODAY(),
"notificacion",
IF(J25&gt;TODAY(),
"",
""))</f>
        <v/>
      </c>
    </row>
    <row r="25" spans="1:11" ht="15.75" x14ac:dyDescent="0.25">
      <c r="A25" s="49"/>
    </row>
    <row r="26" spans="1:11" ht="15.75" x14ac:dyDescent="0.25">
      <c r="A26" s="57" t="s">
        <v>144</v>
      </c>
      <c r="B26" s="2" t="str">
        <f ca="1">IF(B27=TODAY(),
"",
IF(B27&gt;TODAY(),
"",
""))</f>
        <v/>
      </c>
      <c r="C26" s="25" t="str">
        <f t="shared" ref="C26:I26" ca="1" si="1">IF(C27=TODAY(),
"",
IF(C27&gt;TODAY(),
"",
""))</f>
        <v/>
      </c>
      <c r="D26" s="8" t="str">
        <f t="shared" ca="1" si="1"/>
        <v/>
      </c>
      <c r="E26" s="8" t="str">
        <f t="shared" ca="1" si="1"/>
        <v/>
      </c>
      <c r="F26" s="8" t="str">
        <f t="shared" ca="1" si="1"/>
        <v/>
      </c>
      <c r="G26" s="8" t="str">
        <f t="shared" ca="1" si="1"/>
        <v/>
      </c>
      <c r="H26" s="8" t="str">
        <f t="shared" ca="1" si="1"/>
        <v/>
      </c>
      <c r="I26" s="8" t="str">
        <f t="shared" ca="1" si="1"/>
        <v/>
      </c>
      <c r="J26" s="8" t="str">
        <f ca="1">IF(J27=TODAY(),
"notificacion",
IF(J27&gt;TODAY(),
"",
""))</f>
        <v/>
      </c>
    </row>
    <row r="27" spans="1:11" x14ac:dyDescent="0.25">
      <c r="A27" s="34"/>
    </row>
    <row r="28" spans="1:11" ht="15.75" x14ac:dyDescent="0.25">
      <c r="A28" s="57" t="s">
        <v>145</v>
      </c>
      <c r="B28" s="2" t="str">
        <f t="shared" ref="B28:I28" ca="1" si="2">IF(B29=TODAY(),
"",
IF(B29&gt;TODAY(),
"",
""))</f>
        <v/>
      </c>
      <c r="C28" s="25" t="str">
        <f t="shared" ca="1" si="2"/>
        <v/>
      </c>
      <c r="D28" s="8" t="str">
        <f t="shared" ca="1" si="2"/>
        <v/>
      </c>
      <c r="E28" s="8" t="str">
        <f t="shared" ca="1" si="2"/>
        <v/>
      </c>
      <c r="F28" s="8" t="str">
        <f t="shared" ca="1" si="2"/>
        <v/>
      </c>
      <c r="G28" s="8" t="str">
        <f t="shared" ca="1" si="2"/>
        <v/>
      </c>
      <c r="H28" s="8" t="str">
        <f t="shared" ca="1" si="2"/>
        <v/>
      </c>
      <c r="I28" s="8" t="str">
        <f t="shared" ca="1" si="2"/>
        <v/>
      </c>
      <c r="J28" s="8" t="str">
        <f ca="1">IF(J29=TODAY(),
"notificacion",
IF(J29&gt;TODAY(),
"",
""))</f>
        <v/>
      </c>
    </row>
    <row r="29" spans="1:11" ht="15.75" x14ac:dyDescent="0.25">
      <c r="A29" s="57"/>
    </row>
  </sheetData>
  <conditionalFormatting sqref="K17 K19">
    <cfRule type="containsText" dxfId="19" priority="17" operator="containsText" text="caducada">
      <formula>NOT(ISERROR(SEARCH("caducada",K17)))</formula>
    </cfRule>
    <cfRule type="containsText" dxfId="18" priority="18" operator="containsText" text="notificacion">
      <formula>NOT(ISERROR(SEARCH("notificacion",K17)))</formula>
    </cfRule>
  </conditionalFormatting>
  <conditionalFormatting sqref="K24">
    <cfRule type="containsText" dxfId="17" priority="11" operator="containsText" text="caducada">
      <formula>NOT(ISERROR(SEARCH("caducada",K24)))</formula>
    </cfRule>
    <cfRule type="containsText" dxfId="16" priority="12" operator="containsText" text="notificacion">
      <formula>NOT(ISERROR(SEARCH("notificacion",K24)))</formula>
    </cfRule>
  </conditionalFormatting>
  <conditionalFormatting sqref="K26">
    <cfRule type="containsText" dxfId="15" priority="7" operator="containsText" text="caducada">
      <formula>NOT(ISERROR(SEARCH("caducada",K26)))</formula>
    </cfRule>
    <cfRule type="containsText" dxfId="14" priority="8" operator="containsText" text="notificacion">
      <formula>NOT(ISERROR(SEARCH("notificacion",K26)))</formula>
    </cfRule>
  </conditionalFormatting>
  <conditionalFormatting sqref="K28">
    <cfRule type="containsText" dxfId="13" priority="3" operator="containsText" text="caducada">
      <formula>NOT(ISERROR(SEARCH("caducada",K28)))</formula>
    </cfRule>
    <cfRule type="containsText" dxfId="12" priority="4" operator="containsText" text="notificacion">
      <formula>NOT(ISERROR(SEARCH("notificacion",K28)))</formula>
    </cfRule>
  </conditionalFormatting>
  <conditionalFormatting sqref="B24:J29">
    <cfRule type="containsText" dxfId="11" priority="1" operator="containsText" text="caducada">
      <formula>NOT(ISERROR(SEARCH("caducada",B24)))</formula>
    </cfRule>
    <cfRule type="containsText" dxfId="10" priority="16" operator="containsText" text="notificacion">
      <formula>NOT(ISERROR(SEARCH("notificacion",B24)))</formula>
    </cfRule>
  </conditionalFormatting>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O25"/>
  <sheetViews>
    <sheetView topLeftCell="A7" workbookViewId="0">
      <pane xSplit="1" topLeftCell="E1" activePane="topRight" state="frozen"/>
      <selection activeCell="A2" sqref="A2"/>
      <selection pane="topRight" activeCell="J13" sqref="J13"/>
    </sheetView>
  </sheetViews>
  <sheetFormatPr baseColWidth="10" defaultColWidth="11.42578125" defaultRowHeight="15" x14ac:dyDescent="0.25"/>
  <cols>
    <col min="1" max="1" width="22.28515625" customWidth="1"/>
    <col min="2" max="8" width="29.28515625" customWidth="1"/>
  </cols>
  <sheetData>
    <row r="1" spans="1:15" hidden="1" x14ac:dyDescent="0.25">
      <c r="A1" t="s">
        <v>10</v>
      </c>
      <c r="B1" t="s">
        <v>11</v>
      </c>
      <c r="C1" t="s">
        <v>12</v>
      </c>
      <c r="D1" t="s">
        <v>13</v>
      </c>
      <c r="E1" t="s">
        <v>14</v>
      </c>
      <c r="F1" t="s">
        <v>15</v>
      </c>
      <c r="G1" t="s">
        <v>16</v>
      </c>
      <c r="H1" t="s">
        <v>17</v>
      </c>
      <c r="I1" t="s">
        <v>18</v>
      </c>
      <c r="J1" t="s">
        <v>19</v>
      </c>
      <c r="K1" t="s">
        <v>20</v>
      </c>
      <c r="L1" t="s">
        <v>386</v>
      </c>
      <c r="M1" t="s">
        <v>387</v>
      </c>
      <c r="N1" t="s">
        <v>388</v>
      </c>
      <c r="O1" t="s">
        <v>389</v>
      </c>
    </row>
    <row r="2" spans="1:15" ht="15.75" hidden="1" x14ac:dyDescent="0.25">
      <c r="A2" s="3" t="s">
        <v>29</v>
      </c>
      <c r="B2" t="s">
        <v>30</v>
      </c>
      <c r="C2" t="s">
        <v>30</v>
      </c>
      <c r="D2" t="s">
        <v>30</v>
      </c>
      <c r="E2" t="s">
        <v>30</v>
      </c>
      <c r="F2" t="s">
        <v>30</v>
      </c>
      <c r="G2" t="s">
        <v>30</v>
      </c>
      <c r="H2" t="s">
        <v>30</v>
      </c>
      <c r="I2" t="str">
        <f t="shared" ref="I2:O25" ca="1" si="0">IF(I3=TODAY(),
"",
IF(I3&gt;TODAY(),
"",
""))</f>
        <v/>
      </c>
      <c r="J2" t="str">
        <f t="shared" ref="J2:J25" ca="1" si="1">IF(J3=TODAY(),
"",
IF(J3&gt;TODAY(),
"",
""))</f>
        <v/>
      </c>
      <c r="K2" t="str">
        <f t="shared" ref="K2:K25" ca="1" si="2">IF(K3=TODAY(),
"",
IF(K3&gt;TODAY(),
"",
""))</f>
        <v/>
      </c>
      <c r="L2" s="68" t="str">
        <f t="shared" ref="L2:L25" ca="1" si="3">IF(L3=TODAY(),
"",
IF(L3&gt;TODAY(),
"",
""))</f>
        <v/>
      </c>
      <c r="M2" s="68" t="str">
        <f t="shared" ref="M2:M25" ca="1" si="4">IF(M3=TODAY(),
"",
IF(M3&gt;TODAY(),
"",
""))</f>
        <v/>
      </c>
      <c r="N2" s="68" t="str">
        <f t="shared" ref="N2:N25" ca="1" si="5">IF(N3=TODAY(),
"",
IF(N3&gt;TODAY(),
"",
""))</f>
        <v/>
      </c>
      <c r="O2" s="68" t="str">
        <f t="shared" ref="O2:O25" ca="1" si="6">IF(O3=TODAY(),
"",
IF(O3&gt;TODAY(),
"",
""))</f>
        <v/>
      </c>
    </row>
    <row r="3" spans="1:15" ht="15.75" hidden="1" x14ac:dyDescent="0.25">
      <c r="A3" s="3" t="s">
        <v>31</v>
      </c>
      <c r="B3" t="s">
        <v>32</v>
      </c>
      <c r="C3" t="s">
        <v>32</v>
      </c>
      <c r="D3" t="s">
        <v>32</v>
      </c>
      <c r="E3" t="s">
        <v>32</v>
      </c>
      <c r="F3" t="s">
        <v>32</v>
      </c>
      <c r="G3" t="s">
        <v>32</v>
      </c>
      <c r="H3" t="s">
        <v>32</v>
      </c>
      <c r="I3" t="str">
        <f t="shared" ca="1" si="0"/>
        <v/>
      </c>
      <c r="J3" t="str">
        <f t="shared" ca="1" si="1"/>
        <v/>
      </c>
      <c r="K3" t="str">
        <f t="shared" ca="1" si="2"/>
        <v/>
      </c>
      <c r="L3" s="68" t="str">
        <f t="shared" ca="1" si="3"/>
        <v/>
      </c>
      <c r="M3" s="68" t="str">
        <f t="shared" ca="1" si="4"/>
        <v/>
      </c>
      <c r="N3" s="68" t="str">
        <f t="shared" ca="1" si="5"/>
        <v/>
      </c>
      <c r="O3" s="68" t="str">
        <f t="shared" ca="1" si="6"/>
        <v/>
      </c>
    </row>
    <row r="4" spans="1:15" ht="15.75" hidden="1" x14ac:dyDescent="0.25">
      <c r="A4" s="3" t="s">
        <v>33</v>
      </c>
      <c r="B4" t="s">
        <v>34</v>
      </c>
      <c r="C4" t="s">
        <v>34</v>
      </c>
      <c r="D4" t="s">
        <v>34</v>
      </c>
      <c r="E4" t="s">
        <v>34</v>
      </c>
      <c r="F4" t="s">
        <v>34</v>
      </c>
      <c r="G4" t="s">
        <v>34</v>
      </c>
      <c r="H4" t="s">
        <v>34</v>
      </c>
      <c r="I4" t="str">
        <f t="shared" ca="1" si="0"/>
        <v/>
      </c>
      <c r="J4" t="str">
        <f t="shared" ca="1" si="1"/>
        <v/>
      </c>
      <c r="K4" t="str">
        <f t="shared" ca="1" si="2"/>
        <v/>
      </c>
      <c r="L4" s="68" t="str">
        <f t="shared" ca="1" si="3"/>
        <v/>
      </c>
      <c r="M4" s="68" t="str">
        <f t="shared" ca="1" si="4"/>
        <v/>
      </c>
      <c r="N4" s="68" t="str">
        <f t="shared" ca="1" si="5"/>
        <v/>
      </c>
      <c r="O4" s="68" t="str">
        <f t="shared" ca="1" si="6"/>
        <v/>
      </c>
    </row>
    <row r="5" spans="1:15" ht="15.75" hidden="1" x14ac:dyDescent="0.25">
      <c r="A5" s="3" t="s">
        <v>35</v>
      </c>
      <c r="B5" t="s">
        <v>36</v>
      </c>
      <c r="C5" t="s">
        <v>36</v>
      </c>
      <c r="D5" t="s">
        <v>36</v>
      </c>
      <c r="E5" t="s">
        <v>36</v>
      </c>
      <c r="F5" t="s">
        <v>36</v>
      </c>
      <c r="G5" t="s">
        <v>36</v>
      </c>
      <c r="H5" t="s">
        <v>36</v>
      </c>
      <c r="I5" t="str">
        <f t="shared" ca="1" si="0"/>
        <v/>
      </c>
      <c r="J5" t="str">
        <f t="shared" ca="1" si="1"/>
        <v/>
      </c>
      <c r="K5" t="str">
        <f t="shared" ca="1" si="2"/>
        <v/>
      </c>
      <c r="L5" s="68" t="str">
        <f t="shared" ca="1" si="3"/>
        <v/>
      </c>
      <c r="M5" s="68" t="str">
        <f t="shared" ca="1" si="4"/>
        <v/>
      </c>
      <c r="N5" s="68" t="str">
        <f t="shared" ca="1" si="5"/>
        <v/>
      </c>
      <c r="O5" s="68" t="str">
        <f t="shared" ca="1" si="6"/>
        <v/>
      </c>
    </row>
    <row r="6" spans="1:15" ht="15.75" hidden="1" x14ac:dyDescent="0.25">
      <c r="A6" s="3" t="s">
        <v>37</v>
      </c>
      <c r="B6" t="s">
        <v>38</v>
      </c>
      <c r="C6" t="s">
        <v>38</v>
      </c>
      <c r="D6" t="s">
        <v>38</v>
      </c>
      <c r="E6" t="s">
        <v>38</v>
      </c>
      <c r="F6" t="s">
        <v>38</v>
      </c>
      <c r="G6" t="s">
        <v>38</v>
      </c>
      <c r="H6" t="s">
        <v>38</v>
      </c>
      <c r="I6" t="str">
        <f t="shared" ca="1" si="0"/>
        <v/>
      </c>
      <c r="J6" t="str">
        <f t="shared" ca="1" si="1"/>
        <v/>
      </c>
      <c r="K6" t="str">
        <f t="shared" ca="1" si="2"/>
        <v/>
      </c>
      <c r="L6" s="68" t="str">
        <f t="shared" ca="1" si="3"/>
        <v/>
      </c>
      <c r="M6" s="68" t="str">
        <f t="shared" ca="1" si="4"/>
        <v/>
      </c>
      <c r="N6" s="68" t="str">
        <f t="shared" ca="1" si="5"/>
        <v/>
      </c>
      <c r="O6" s="68" t="str">
        <f t="shared" ca="1" si="6"/>
        <v/>
      </c>
    </row>
    <row r="7" spans="1:15" ht="15.75" x14ac:dyDescent="0.25">
      <c r="A7" s="3" t="s">
        <v>39</v>
      </c>
      <c r="B7" t="s">
        <v>390</v>
      </c>
      <c r="C7" t="s">
        <v>391</v>
      </c>
      <c r="D7" t="s">
        <v>392</v>
      </c>
      <c r="E7" t="s">
        <v>393</v>
      </c>
      <c r="F7" t="s">
        <v>394</v>
      </c>
      <c r="G7" t="s">
        <v>395</v>
      </c>
      <c r="H7" t="s">
        <v>396</v>
      </c>
      <c r="I7" t="str">
        <f t="shared" ca="1" si="0"/>
        <v/>
      </c>
      <c r="J7" t="str">
        <f t="shared" ca="1" si="1"/>
        <v/>
      </c>
      <c r="K7" t="str">
        <f t="shared" ca="1" si="2"/>
        <v/>
      </c>
      <c r="L7" s="68" t="str">
        <f t="shared" ca="1" si="3"/>
        <v/>
      </c>
      <c r="M7" s="68" t="str">
        <f t="shared" ca="1" si="4"/>
        <v/>
      </c>
      <c r="N7" s="68" t="str">
        <f t="shared" ca="1" si="5"/>
        <v/>
      </c>
      <c r="O7" s="68" t="str">
        <f t="shared" ca="1" si="6"/>
        <v/>
      </c>
    </row>
    <row r="8" spans="1:15" s="2" customFormat="1" ht="30" x14ac:dyDescent="0.25">
      <c r="A8" s="7" t="s">
        <v>50</v>
      </c>
      <c r="B8" s="2" t="s">
        <v>397</v>
      </c>
      <c r="C8" s="2" t="s">
        <v>398</v>
      </c>
      <c r="D8" s="2" t="s">
        <v>399</v>
      </c>
      <c r="E8" s="2" t="s">
        <v>400</v>
      </c>
      <c r="F8" s="2" t="s">
        <v>56</v>
      </c>
      <c r="G8" s="2" t="s">
        <v>401</v>
      </c>
      <c r="H8" s="2" t="s">
        <v>402</v>
      </c>
      <c r="I8" s="2" t="str">
        <f t="shared" ca="1" si="0"/>
        <v/>
      </c>
      <c r="J8" s="2" t="str">
        <f t="shared" ca="1" si="1"/>
        <v/>
      </c>
      <c r="K8" s="2" t="str">
        <f t="shared" ca="1" si="2"/>
        <v/>
      </c>
      <c r="L8" s="69" t="str">
        <f t="shared" ca="1" si="3"/>
        <v/>
      </c>
      <c r="M8" s="69" t="str">
        <f t="shared" ca="1" si="4"/>
        <v/>
      </c>
      <c r="N8" s="69" t="str">
        <f t="shared" ca="1" si="5"/>
        <v/>
      </c>
      <c r="O8" s="69" t="str">
        <f t="shared" ca="1" si="6"/>
        <v/>
      </c>
    </row>
    <row r="9" spans="1:15" s="1" customFormat="1" ht="15.75" x14ac:dyDescent="0.25">
      <c r="A9" s="22" t="s">
        <v>59</v>
      </c>
      <c r="B9" s="1" t="s">
        <v>403</v>
      </c>
      <c r="C9" s="1" t="s">
        <v>404</v>
      </c>
      <c r="D9" s="1">
        <v>18092507737</v>
      </c>
      <c r="E9" s="1" t="s">
        <v>405</v>
      </c>
      <c r="F9" s="1" t="s">
        <v>406</v>
      </c>
      <c r="G9" s="1" t="s">
        <v>407</v>
      </c>
      <c r="H9" s="1" t="s">
        <v>408</v>
      </c>
      <c r="I9" s="1" t="str">
        <f t="shared" ca="1" si="0"/>
        <v/>
      </c>
      <c r="J9" s="1" t="str">
        <f t="shared" ca="1" si="1"/>
        <v/>
      </c>
      <c r="K9" s="1" t="str">
        <f t="shared" ca="1" si="2"/>
        <v/>
      </c>
      <c r="L9" s="70" t="str">
        <f t="shared" ca="1" si="3"/>
        <v/>
      </c>
      <c r="M9" s="70" t="str">
        <f t="shared" ca="1" si="4"/>
        <v/>
      </c>
      <c r="N9" s="70" t="str">
        <f t="shared" ca="1" si="5"/>
        <v/>
      </c>
      <c r="O9" s="70" t="str">
        <f t="shared" ca="1" si="6"/>
        <v/>
      </c>
    </row>
    <row r="10" spans="1:15" s="1" customFormat="1" ht="15.75" x14ac:dyDescent="0.25">
      <c r="A10" s="22" t="s">
        <v>69</v>
      </c>
      <c r="B10" s="1" t="s">
        <v>207</v>
      </c>
      <c r="C10" s="1" t="s">
        <v>409</v>
      </c>
      <c r="D10" s="1" t="s">
        <v>410</v>
      </c>
      <c r="E10" s="1">
        <v>8498507823</v>
      </c>
      <c r="F10" s="1" t="s">
        <v>411</v>
      </c>
      <c r="G10" s="1" t="s">
        <v>412</v>
      </c>
      <c r="H10" s="1">
        <v>8093601545</v>
      </c>
      <c r="I10" s="1" t="str">
        <f t="shared" ca="1" si="0"/>
        <v/>
      </c>
      <c r="J10" s="1" t="str">
        <f t="shared" ca="1" si="1"/>
        <v/>
      </c>
      <c r="K10" s="1" t="str">
        <f t="shared" ca="1" si="2"/>
        <v/>
      </c>
      <c r="L10" s="70" t="str">
        <f t="shared" ca="1" si="3"/>
        <v/>
      </c>
      <c r="M10" s="70" t="str">
        <f t="shared" ca="1" si="4"/>
        <v/>
      </c>
      <c r="N10" s="70" t="str">
        <f t="shared" ca="1" si="5"/>
        <v/>
      </c>
      <c r="O10" s="70" t="str">
        <f t="shared" ca="1" si="6"/>
        <v/>
      </c>
    </row>
    <row r="11" spans="1:15" ht="15.75" x14ac:dyDescent="0.25">
      <c r="A11" s="3" t="s">
        <v>72</v>
      </c>
      <c r="B11" t="s">
        <v>413</v>
      </c>
      <c r="C11" t="s">
        <v>414</v>
      </c>
      <c r="D11" t="s">
        <v>415</v>
      </c>
      <c r="E11" t="s">
        <v>416</v>
      </c>
      <c r="F11" t="s">
        <v>417</v>
      </c>
      <c r="G11" t="s">
        <v>418</v>
      </c>
      <c r="H11" t="s">
        <v>419</v>
      </c>
      <c r="I11" t="str">
        <f t="shared" ca="1" si="0"/>
        <v/>
      </c>
      <c r="J11" t="str">
        <f t="shared" ca="1" si="1"/>
        <v/>
      </c>
      <c r="K11" t="str">
        <f t="shared" ca="1" si="2"/>
        <v/>
      </c>
      <c r="L11" s="68" t="str">
        <f t="shared" ca="1" si="3"/>
        <v/>
      </c>
      <c r="M11" s="68" t="str">
        <f t="shared" ca="1" si="4"/>
        <v/>
      </c>
      <c r="N11" s="68" t="str">
        <f t="shared" ca="1" si="5"/>
        <v/>
      </c>
      <c r="O11" s="68" t="str">
        <f t="shared" ca="1" si="6"/>
        <v/>
      </c>
    </row>
    <row r="12" spans="1:15" s="2" customFormat="1" ht="30" x14ac:dyDescent="0.25">
      <c r="A12" s="7" t="s">
        <v>83</v>
      </c>
      <c r="B12" s="2" t="s">
        <v>420</v>
      </c>
      <c r="C12" s="2" t="s">
        <v>421</v>
      </c>
      <c r="D12" s="2" t="s">
        <v>422</v>
      </c>
      <c r="E12" s="2" t="s">
        <v>423</v>
      </c>
      <c r="F12" s="2" t="s">
        <v>424</v>
      </c>
      <c r="G12" s="2" t="s">
        <v>425</v>
      </c>
      <c r="H12" s="2" t="s">
        <v>426</v>
      </c>
      <c r="I12" s="2" t="str">
        <f t="shared" ca="1" si="0"/>
        <v/>
      </c>
      <c r="J12" s="2" t="str">
        <f t="shared" ca="1" si="1"/>
        <v/>
      </c>
      <c r="K12" s="2" t="str">
        <f t="shared" ca="1" si="2"/>
        <v/>
      </c>
      <c r="L12" s="69" t="str">
        <f t="shared" ca="1" si="3"/>
        <v/>
      </c>
      <c r="M12" s="69" t="str">
        <f t="shared" ca="1" si="4"/>
        <v/>
      </c>
      <c r="N12" s="69" t="str">
        <f t="shared" ca="1" si="5"/>
        <v/>
      </c>
      <c r="O12" s="69" t="str">
        <f t="shared" ca="1" si="6"/>
        <v/>
      </c>
    </row>
    <row r="13" spans="1:15" ht="15.75" x14ac:dyDescent="0.25">
      <c r="A13" s="3" t="s">
        <v>94</v>
      </c>
      <c r="B13" t="s">
        <v>95</v>
      </c>
      <c r="C13" t="s">
        <v>95</v>
      </c>
      <c r="D13" t="s">
        <v>427</v>
      </c>
      <c r="E13" t="s">
        <v>298</v>
      </c>
      <c r="F13" t="s">
        <v>95</v>
      </c>
      <c r="G13" t="s">
        <v>428</v>
      </c>
      <c r="H13" t="s">
        <v>429</v>
      </c>
      <c r="I13" t="str">
        <f t="shared" ca="1" si="0"/>
        <v/>
      </c>
      <c r="J13" t="str">
        <f t="shared" ca="1" si="1"/>
        <v/>
      </c>
      <c r="K13" t="str">
        <f t="shared" ca="1" si="2"/>
        <v/>
      </c>
      <c r="L13" s="68" t="str">
        <f t="shared" ca="1" si="3"/>
        <v/>
      </c>
      <c r="M13" s="68" t="str">
        <f t="shared" ca="1" si="4"/>
        <v/>
      </c>
      <c r="N13" s="68" t="str">
        <f t="shared" ca="1" si="5"/>
        <v/>
      </c>
      <c r="O13" s="68" t="str">
        <f t="shared" ca="1" si="6"/>
        <v/>
      </c>
    </row>
    <row r="14" spans="1:15" ht="15.75" x14ac:dyDescent="0.25">
      <c r="A14" s="3" t="s">
        <v>101</v>
      </c>
      <c r="B14" t="s">
        <v>102</v>
      </c>
      <c r="C14" t="s">
        <v>430</v>
      </c>
      <c r="D14" t="s">
        <v>431</v>
      </c>
      <c r="E14" t="s">
        <v>432</v>
      </c>
      <c r="F14" t="s">
        <v>102</v>
      </c>
      <c r="G14" t="s">
        <v>433</v>
      </c>
      <c r="H14" t="s">
        <v>429</v>
      </c>
      <c r="I14" t="str">
        <f t="shared" ca="1" si="0"/>
        <v/>
      </c>
      <c r="J14" t="str">
        <f t="shared" ca="1" si="1"/>
        <v/>
      </c>
      <c r="K14" t="str">
        <f t="shared" ca="1" si="2"/>
        <v/>
      </c>
      <c r="L14" s="68" t="str">
        <f t="shared" ca="1" si="3"/>
        <v/>
      </c>
      <c r="M14" s="68" t="str">
        <f t="shared" ca="1" si="4"/>
        <v/>
      </c>
      <c r="N14" s="68" t="str">
        <f t="shared" ca="1" si="5"/>
        <v/>
      </c>
      <c r="O14" s="68" t="str">
        <f t="shared" ca="1" si="6"/>
        <v/>
      </c>
    </row>
    <row r="15" spans="1:15" ht="15.75" x14ac:dyDescent="0.25">
      <c r="A15" s="3" t="s">
        <v>109</v>
      </c>
      <c r="I15" t="str">
        <f t="shared" ca="1" si="0"/>
        <v/>
      </c>
      <c r="J15" t="str">
        <f t="shared" ca="1" si="1"/>
        <v/>
      </c>
      <c r="K15" t="str">
        <f t="shared" ca="1" si="2"/>
        <v/>
      </c>
      <c r="L15" s="68" t="str">
        <f t="shared" ca="1" si="3"/>
        <v/>
      </c>
      <c r="M15" s="68" t="str">
        <f t="shared" ca="1" si="4"/>
        <v/>
      </c>
      <c r="N15" s="68" t="str">
        <f t="shared" ca="1" si="5"/>
        <v/>
      </c>
      <c r="O15" s="68" t="str">
        <f t="shared" ca="1" si="6"/>
        <v/>
      </c>
    </row>
    <row r="16" spans="1:15" s="2" customFormat="1" ht="15.75" x14ac:dyDescent="0.25">
      <c r="A16" s="7" t="s">
        <v>111</v>
      </c>
      <c r="I16" s="2" t="str">
        <f t="shared" ca="1" si="0"/>
        <v/>
      </c>
      <c r="J16" s="2" t="str">
        <f t="shared" ca="1" si="1"/>
        <v/>
      </c>
      <c r="K16" s="2" t="str">
        <f t="shared" ca="1" si="2"/>
        <v/>
      </c>
      <c r="L16" s="69" t="str">
        <f t="shared" ca="1" si="3"/>
        <v/>
      </c>
      <c r="M16" s="69" t="str">
        <f t="shared" ca="1" si="4"/>
        <v/>
      </c>
      <c r="N16" s="69" t="str">
        <f t="shared" ca="1" si="5"/>
        <v/>
      </c>
      <c r="O16" s="69" t="str">
        <f t="shared" ca="1" si="6"/>
        <v/>
      </c>
    </row>
    <row r="17" spans="1:15" ht="15.75" x14ac:dyDescent="0.25">
      <c r="A17" s="3" t="s">
        <v>113</v>
      </c>
      <c r="B17" t="s">
        <v>114</v>
      </c>
      <c r="C17" t="s">
        <v>115</v>
      </c>
      <c r="D17" t="s">
        <v>114</v>
      </c>
      <c r="E17" t="s">
        <v>114</v>
      </c>
      <c r="F17" t="s">
        <v>114</v>
      </c>
      <c r="G17" t="s">
        <v>115</v>
      </c>
      <c r="H17" t="s">
        <v>114</v>
      </c>
      <c r="I17" t="str">
        <f t="shared" ca="1" si="0"/>
        <v/>
      </c>
      <c r="J17" t="str">
        <f t="shared" ca="1" si="1"/>
        <v/>
      </c>
      <c r="K17" t="str">
        <f t="shared" ca="1" si="2"/>
        <v/>
      </c>
      <c r="L17" s="68" t="str">
        <f t="shared" ca="1" si="3"/>
        <v/>
      </c>
      <c r="M17" s="68" t="str">
        <f t="shared" ca="1" si="4"/>
        <v/>
      </c>
      <c r="N17" s="68" t="str">
        <f t="shared" ca="1" si="5"/>
        <v/>
      </c>
      <c r="O17" s="68" t="str">
        <f t="shared" ca="1" si="6"/>
        <v/>
      </c>
    </row>
    <row r="18" spans="1:15" s="2" customFormat="1" ht="75" x14ac:dyDescent="0.25">
      <c r="A18" s="7" t="s">
        <v>126</v>
      </c>
      <c r="B18" s="2" t="s">
        <v>434</v>
      </c>
      <c r="C18" s="2" t="s">
        <v>409</v>
      </c>
      <c r="D18" s="2" t="s">
        <v>435</v>
      </c>
      <c r="E18" s="2" t="s">
        <v>436</v>
      </c>
      <c r="F18" s="2" t="s">
        <v>437</v>
      </c>
      <c r="G18" s="2" t="s">
        <v>438</v>
      </c>
      <c r="H18" s="2" t="s">
        <v>439</v>
      </c>
      <c r="I18" s="2" t="str">
        <f t="shared" ca="1" si="0"/>
        <v/>
      </c>
      <c r="J18" s="2" t="str">
        <f t="shared" ca="1" si="1"/>
        <v/>
      </c>
      <c r="K18" s="2" t="str">
        <f t="shared" ca="1" si="2"/>
        <v/>
      </c>
      <c r="L18" s="69" t="str">
        <f t="shared" ca="1" si="3"/>
        <v/>
      </c>
      <c r="M18" s="69" t="str">
        <f t="shared" ca="1" si="4"/>
        <v/>
      </c>
      <c r="N18" s="69" t="str">
        <f t="shared" ca="1" si="5"/>
        <v/>
      </c>
      <c r="O18" s="69" t="str">
        <f t="shared" ca="1" si="6"/>
        <v/>
      </c>
    </row>
    <row r="19" spans="1:15" s="2" customFormat="1" ht="15.75" x14ac:dyDescent="0.25">
      <c r="A19" s="7" t="s">
        <v>136</v>
      </c>
      <c r="I19" s="2" t="str">
        <f t="shared" ca="1" si="0"/>
        <v/>
      </c>
      <c r="J19" s="2" t="str">
        <f t="shared" ca="1" si="1"/>
        <v/>
      </c>
      <c r="K19" s="2" t="str">
        <f t="shared" ca="1" si="2"/>
        <v/>
      </c>
      <c r="L19" s="69" t="str">
        <f t="shared" ca="1" si="3"/>
        <v/>
      </c>
      <c r="M19" s="69" t="str">
        <f t="shared" ca="1" si="4"/>
        <v/>
      </c>
      <c r="N19" s="69" t="str">
        <f t="shared" ca="1" si="5"/>
        <v/>
      </c>
      <c r="O19" s="69" t="str">
        <f t="shared" ca="1" si="6"/>
        <v/>
      </c>
    </row>
    <row r="20" spans="1:15" s="2" customFormat="1" ht="15.75" x14ac:dyDescent="0.25">
      <c r="A20" s="7" t="s">
        <v>143</v>
      </c>
      <c r="B20" s="2" t="str">
        <f t="shared" ref="B20:H20" ca="1" si="7">IF(B21=TODAY(),
"",
IF(B21&gt;TODAY(),
"",
""))</f>
        <v/>
      </c>
      <c r="C20" s="2" t="str">
        <f t="shared" ca="1" si="7"/>
        <v/>
      </c>
      <c r="D20" s="2" t="str">
        <f t="shared" ca="1" si="7"/>
        <v/>
      </c>
      <c r="E20" s="2" t="str">
        <f t="shared" ca="1" si="7"/>
        <v/>
      </c>
      <c r="F20" s="2" t="str">
        <f t="shared" ca="1" si="7"/>
        <v/>
      </c>
      <c r="G20" s="2" t="str">
        <f t="shared" ca="1" si="7"/>
        <v/>
      </c>
      <c r="H20" s="2" t="str">
        <f t="shared" ca="1" si="7"/>
        <v/>
      </c>
      <c r="I20" s="25" t="str">
        <f t="shared" ca="1" si="0"/>
        <v/>
      </c>
      <c r="J20" s="8" t="str">
        <f t="shared" ca="1" si="0"/>
        <v/>
      </c>
      <c r="K20" s="8" t="str">
        <f t="shared" ca="1" si="0"/>
        <v/>
      </c>
      <c r="L20" s="8" t="str">
        <f t="shared" ca="1" si="0"/>
        <v/>
      </c>
      <c r="M20" s="8" t="str">
        <f t="shared" ca="1" si="0"/>
        <v/>
      </c>
      <c r="N20" s="8" t="str">
        <f t="shared" ca="1" si="0"/>
        <v/>
      </c>
      <c r="O20" s="71" t="str">
        <f t="shared" ca="1" si="6"/>
        <v/>
      </c>
    </row>
    <row r="21" spans="1:15" ht="15.75" x14ac:dyDescent="0.25">
      <c r="A21" s="3"/>
      <c r="I21" t="str">
        <f t="shared" ca="1" si="0"/>
        <v/>
      </c>
      <c r="J21" t="str">
        <f t="shared" ca="1" si="1"/>
        <v/>
      </c>
      <c r="K21" t="str">
        <f t="shared" ca="1" si="2"/>
        <v/>
      </c>
      <c r="L21" s="68" t="str">
        <f t="shared" ca="1" si="3"/>
        <v/>
      </c>
      <c r="M21" s="68" t="str">
        <f t="shared" ca="1" si="4"/>
        <v/>
      </c>
      <c r="N21" s="68" t="str">
        <f t="shared" ca="1" si="5"/>
        <v/>
      </c>
      <c r="O21" s="68" t="str">
        <f t="shared" ca="1" si="6"/>
        <v/>
      </c>
    </row>
    <row r="22" spans="1:15" s="2" customFormat="1" ht="15.75" x14ac:dyDescent="0.25">
      <c r="A22" s="7" t="s">
        <v>144</v>
      </c>
      <c r="B22" s="2" t="str">
        <f ca="1">IF(B23=TODAY(),
"",
IF(B23&gt;TODAY(),
"",
""))</f>
        <v/>
      </c>
      <c r="C22" s="25" t="str">
        <f t="shared" ref="C22:G22" ca="1" si="8">IF(C23=TODAY(),
"",
IF(C23&gt;TODAY(),
"",
""))</f>
        <v/>
      </c>
      <c r="D22" s="8" t="str">
        <f t="shared" ca="1" si="8"/>
        <v/>
      </c>
      <c r="E22" s="8" t="str">
        <f t="shared" ca="1" si="8"/>
        <v/>
      </c>
      <c r="F22" s="8" t="str">
        <f t="shared" ca="1" si="8"/>
        <v/>
      </c>
      <c r="G22" s="8" t="str">
        <f t="shared" ca="1" si="8"/>
        <v/>
      </c>
      <c r="H22" s="2" t="str">
        <f ca="1">IF(H23=TODAY(),
"",
IF(H23&gt;TODAY(),
"",
""))</f>
        <v/>
      </c>
      <c r="I22" s="25" t="str">
        <f t="shared" ca="1" si="0"/>
        <v/>
      </c>
      <c r="J22" s="8" t="str">
        <f t="shared" ca="1" si="0"/>
        <v/>
      </c>
      <c r="K22" s="8" t="str">
        <f t="shared" ca="1" si="0"/>
        <v/>
      </c>
      <c r="L22" s="8" t="str">
        <f t="shared" ca="1" si="0"/>
        <v/>
      </c>
      <c r="M22" s="8" t="str">
        <f t="shared" ca="1" si="0"/>
        <v/>
      </c>
      <c r="N22" s="8" t="str">
        <f t="shared" ca="1" si="0"/>
        <v/>
      </c>
      <c r="O22" s="8" t="str">
        <f t="shared" ca="1" si="0"/>
        <v/>
      </c>
    </row>
    <row r="23" spans="1:15" ht="15.75" x14ac:dyDescent="0.25">
      <c r="A23" s="3"/>
      <c r="I23" t="str">
        <f t="shared" ca="1" si="0"/>
        <v/>
      </c>
      <c r="J23" t="str">
        <f t="shared" ca="1" si="1"/>
        <v/>
      </c>
      <c r="K23" t="str">
        <f t="shared" ca="1" si="2"/>
        <v/>
      </c>
      <c r="L23" s="68" t="str">
        <f t="shared" ca="1" si="3"/>
        <v/>
      </c>
      <c r="M23" s="68" t="str">
        <f t="shared" ca="1" si="4"/>
        <v/>
      </c>
      <c r="N23" s="68" t="str">
        <f t="shared" ca="1" si="5"/>
        <v/>
      </c>
      <c r="O23" s="68" t="str">
        <f t="shared" ca="1" si="6"/>
        <v/>
      </c>
    </row>
    <row r="24" spans="1:15" s="2" customFormat="1" ht="15.75" x14ac:dyDescent="0.25">
      <c r="A24" s="7" t="s">
        <v>145</v>
      </c>
      <c r="B24" s="2" t="str">
        <f ca="1">IF(B25=TODAY(),
"",
IF(B25&gt;TODAY(),
"",
""))</f>
        <v/>
      </c>
      <c r="C24" s="2" t="str">
        <f ca="1">IF(C25=TODAY(),
"",
IF(C25&gt;TODAY(),
"",
""))</f>
        <v/>
      </c>
      <c r="D24" s="2" t="str">
        <f ca="1">IF(D25=TODAY(),
"",
IF(D25&gt;TODAY(),
"",
""))</f>
        <v/>
      </c>
      <c r="E24" s="2" t="str">
        <f ca="1">IF(E25=TODAY(),
"",
IF(E25&gt;TODAY(),
"",
""))</f>
        <v/>
      </c>
      <c r="F24" s="25" t="str">
        <f t="shared" ref="F24:G24" ca="1" si="9">IF(F25=TODAY(),
"",
IF(F25&gt;TODAY(),
"",
""))</f>
        <v/>
      </c>
      <c r="G24" s="8" t="str">
        <f t="shared" ca="1" si="9"/>
        <v/>
      </c>
      <c r="H24" s="2" t="str">
        <f ca="1">IF(H25=TODAY(),
"",
IF(H25&gt;TODAY(),
"",
""))</f>
        <v/>
      </c>
      <c r="I24" s="25" t="str">
        <f t="shared" ca="1" si="0"/>
        <v/>
      </c>
      <c r="J24" s="8" t="str">
        <f t="shared" ca="1" si="0"/>
        <v/>
      </c>
      <c r="K24" s="8" t="str">
        <f t="shared" ca="1" si="0"/>
        <v/>
      </c>
      <c r="L24" s="8" t="str">
        <f t="shared" ca="1" si="0"/>
        <v/>
      </c>
      <c r="M24" s="8" t="str">
        <f t="shared" ca="1" si="0"/>
        <v/>
      </c>
      <c r="N24" s="8" t="str">
        <f t="shared" ca="1" si="0"/>
        <v/>
      </c>
      <c r="O24" s="8" t="str">
        <f t="shared" ca="1" si="0"/>
        <v/>
      </c>
    </row>
    <row r="25" spans="1:15" ht="15.75" x14ac:dyDescent="0.25">
      <c r="A25" s="3"/>
      <c r="I25" t="str">
        <f t="shared" ca="1" si="0"/>
        <v/>
      </c>
      <c r="J25" t="str">
        <f t="shared" ca="1" si="1"/>
        <v/>
      </c>
      <c r="K25" t="str">
        <f t="shared" ca="1" si="2"/>
        <v/>
      </c>
      <c r="L25" s="68" t="str">
        <f t="shared" ca="1" si="3"/>
        <v/>
      </c>
      <c r="M25" s="68" t="str">
        <f t="shared" ca="1" si="4"/>
        <v/>
      </c>
      <c r="N25" s="68" t="str">
        <f t="shared" ca="1" si="5"/>
        <v/>
      </c>
      <c r="O25" s="68" t="str">
        <f t="shared" ca="1" si="6"/>
        <v/>
      </c>
    </row>
  </sheetData>
  <conditionalFormatting sqref="B22:O22 B20:O20 B24:O24">
    <cfRule type="containsText" dxfId="9" priority="1" operator="containsText" text="caducada">
      <formula>NOT(ISERROR(SEARCH("caducada",B20)))</formula>
    </cfRule>
    <cfRule type="containsText" dxfId="8" priority="2" operator="containsText" text="notificacion">
      <formula>NOT(ISERROR(SEARCH("notificacion",B20)))</formula>
    </cfRule>
  </conditionalFormatting>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abSelected="1" workbookViewId="0"/>
  </sheetViews>
  <sheetFormatPr baseColWidth="10"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6</vt:i4>
      </vt:variant>
    </vt:vector>
  </HeadingPairs>
  <TitlesOfParts>
    <vt:vector size="6" baseType="lpstr">
      <vt:lpstr>24 de Abril 2017</vt:lpstr>
      <vt:lpstr>25 de Abril 2017</vt:lpstr>
      <vt:lpstr>26 de abril 2017</vt:lpstr>
      <vt:lpstr>27 de Abril 2017</vt:lpstr>
      <vt:lpstr>28 de Abril 2017</vt:lpstr>
      <vt:lpstr>Hoja1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david miguel solano minaya</dc:creator>
  <cp:keywords/>
  <dc:description/>
  <cp:lastModifiedBy>david miguel solano minaya</cp:lastModifiedBy>
  <cp:revision/>
  <dcterms:created xsi:type="dcterms:W3CDTF">2017-04-24T15:43:24Z</dcterms:created>
  <dcterms:modified xsi:type="dcterms:W3CDTF">2017-04-28T22:29:09Z</dcterms:modified>
  <cp:category/>
  <cp:contentStatus/>
</cp:coreProperties>
</file>