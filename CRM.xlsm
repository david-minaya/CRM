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830" codeName="{00000000-0000-0000-0000-000000000000}"/>
  <workbookPr codeName="ThisWorkbook" defaultThemeVersion="166925"/>
  <mc:AlternateContent xmlns:mc="http://schemas.openxmlformats.org/markup-compatibility/2006">
    <mc:Choice Requires="x15">
      <x15ac:absPath xmlns:x15ac="http://schemas.microsoft.com/office/spreadsheetml/2010/11/ac" url="C:\Users\USER\Documents\Exel\Disashop\CRM\"/>
    </mc:Choice>
  </mc:AlternateContent>
  <bookViews>
    <workbookView xWindow="0" yWindow="0" windowWidth="20490" windowHeight="8115" tabRatio="730"/>
  </bookViews>
  <sheets>
    <sheet name="24 de Abril 2017" sheetId="2" r:id="rId1"/>
    <sheet name="25 de Abril 2017" sheetId="3" r:id="rId2"/>
    <sheet name="26 de abril 2017" sheetId="4" r:id="rId3"/>
    <sheet name="27 de Abril 2017" sheetId="5" r:id="rId4"/>
  </sheets>
  <calcPr calcId="162913"/>
</workbook>
</file>

<file path=xl/calcChain.xml><?xml version="1.0" encoding="utf-8"?>
<calcChain xmlns="http://schemas.openxmlformats.org/spreadsheetml/2006/main">
  <c r="G26" i="2" l="1"/>
  <c r="B28" i="2"/>
  <c r="C29" i="2"/>
  <c r="C28" i="2" s="1"/>
  <c r="D28" i="2"/>
  <c r="B26" i="2"/>
  <c r="E24" i="3"/>
  <c r="D26" i="2"/>
  <c r="E26" i="2"/>
  <c r="C26" i="2"/>
  <c r="F26" i="2"/>
  <c r="C30" i="2"/>
  <c r="I24" i="3"/>
  <c r="J24" i="3"/>
  <c r="G24" i="3"/>
  <c r="E30" i="2"/>
  <c r="G30" i="2"/>
  <c r="F26" i="3"/>
  <c r="G26" i="3"/>
  <c r="I28" i="4"/>
  <c r="H28" i="4"/>
  <c r="B24" i="5"/>
  <c r="C24" i="5"/>
  <c r="J28" i="5"/>
  <c r="I28" i="5"/>
  <c r="H28" i="5"/>
  <c r="G28" i="5"/>
  <c r="F28" i="5"/>
  <c r="E28" i="5"/>
  <c r="D28" i="5"/>
  <c r="C28" i="5"/>
  <c r="B28" i="5"/>
  <c r="J26" i="5"/>
  <c r="I26" i="5"/>
  <c r="H26" i="5"/>
  <c r="G26" i="5"/>
  <c r="F26" i="5"/>
  <c r="E26" i="5"/>
  <c r="D26" i="5"/>
  <c r="C26" i="5"/>
  <c r="B26" i="5"/>
  <c r="J24" i="5"/>
  <c r="I24" i="5"/>
  <c r="H24" i="5"/>
  <c r="G24" i="5"/>
  <c r="F24" i="5"/>
  <c r="E24" i="5"/>
  <c r="D24" i="5"/>
  <c r="F24" i="3"/>
  <c r="B24" i="4"/>
  <c r="B28" i="4"/>
  <c r="J28" i="4"/>
  <c r="G28" i="4"/>
  <c r="F28" i="4"/>
  <c r="E28" i="4"/>
  <c r="D28" i="4"/>
  <c r="C28" i="4"/>
  <c r="J26" i="4"/>
  <c r="I26" i="4"/>
  <c r="H26" i="4"/>
  <c r="G26" i="4"/>
  <c r="F26" i="4"/>
  <c r="E26" i="4"/>
  <c r="D26" i="4"/>
  <c r="C26" i="4"/>
  <c r="B26" i="4"/>
  <c r="J28" i="3"/>
  <c r="I28" i="3"/>
  <c r="H28" i="3"/>
  <c r="G28" i="3"/>
  <c r="F28" i="3"/>
  <c r="E28" i="3"/>
  <c r="D28" i="3"/>
  <c r="C28" i="3"/>
  <c r="B28" i="3"/>
  <c r="J26" i="3"/>
  <c r="I26" i="3"/>
  <c r="H26" i="3"/>
  <c r="E26" i="3"/>
  <c r="D26" i="3"/>
  <c r="C26" i="3"/>
  <c r="B26" i="3"/>
  <c r="J30" i="2"/>
  <c r="I30" i="2"/>
  <c r="H30" i="2"/>
  <c r="F30" i="2"/>
  <c r="D30" i="2"/>
  <c r="B30" i="2"/>
  <c r="J28" i="2"/>
  <c r="I28" i="2"/>
  <c r="H28" i="2"/>
  <c r="G28" i="2"/>
  <c r="F28" i="2"/>
  <c r="E28" i="2"/>
  <c r="D24" i="4"/>
  <c r="K24" i="4"/>
  <c r="J24" i="4"/>
  <c r="I24" i="4"/>
  <c r="H24" i="4"/>
  <c r="G24" i="4"/>
  <c r="F24" i="4"/>
  <c r="E24" i="4"/>
  <c r="C24" i="4"/>
  <c r="B24" i="3"/>
  <c r="C24" i="3"/>
  <c r="D24" i="3"/>
  <c r="H24" i="3"/>
  <c r="J26" i="2"/>
  <c r="I26" i="2"/>
  <c r="H26" i="2"/>
</calcChain>
</file>

<file path=xl/sharedStrings.xml><?xml version="1.0" encoding="utf-8"?>
<sst xmlns="http://schemas.openxmlformats.org/spreadsheetml/2006/main" count="904" uniqueCount="384">
  <si>
    <t>id</t>
  </si>
  <si>
    <t>l:396918584026007</t>
  </si>
  <si>
    <t>l:396916314026234</t>
  </si>
  <si>
    <t>l:396886394029226</t>
  </si>
  <si>
    <t>l:396884217362777</t>
  </si>
  <si>
    <t>l:396871074030758</t>
  </si>
  <si>
    <t>l:396713060713226</t>
  </si>
  <si>
    <t>l:396708664046999</t>
  </si>
  <si>
    <t>l:396634180721114</t>
  </si>
  <si>
    <t>l:396615210723011</t>
  </si>
  <si>
    <t>Columna1</t>
  </si>
  <si>
    <t>Columna2</t>
  </si>
  <si>
    <t>Columna3</t>
  </si>
  <si>
    <t>Columna4</t>
  </si>
  <si>
    <t>Columna5</t>
  </si>
  <si>
    <t>Columna6</t>
  </si>
  <si>
    <t>Columna7</t>
  </si>
  <si>
    <t>Columna8</t>
  </si>
  <si>
    <t>Columna9</t>
  </si>
  <si>
    <t>Columna10</t>
  </si>
  <si>
    <t>Columna11</t>
  </si>
  <si>
    <t>ad_id</t>
  </si>
  <si>
    <t>ag:23842579793980633</t>
  </si>
  <si>
    <t>ad_name</t>
  </si>
  <si>
    <t>Venta de Recargas - Generación de clientes potenciales</t>
  </si>
  <si>
    <t>adset_id</t>
  </si>
  <si>
    <t>as:23842579793860633</t>
  </si>
  <si>
    <t>adset_name</t>
  </si>
  <si>
    <t>Captación de prospectos Disashop en la Linea Noroeste del 19/04/2017 al 04/05/2017</t>
  </si>
  <si>
    <t>campaign_id</t>
  </si>
  <si>
    <t>c:23842579793810633</t>
  </si>
  <si>
    <t>campaign_name</t>
  </si>
  <si>
    <t>Clientes potenciales Disashop</t>
  </si>
  <si>
    <t>form_id</t>
  </si>
  <si>
    <t>f:394826987568500</t>
  </si>
  <si>
    <t>form_name</t>
  </si>
  <si>
    <t>Formularios anuncio Disashop</t>
  </si>
  <si>
    <t>is_organic</t>
  </si>
  <si>
    <t>false</t>
  </si>
  <si>
    <t>nombre_completo</t>
  </si>
  <si>
    <t>Anibal Gonsalez</t>
  </si>
  <si>
    <t>Juancarlos Jimenes</t>
  </si>
  <si>
    <t>Licda Anny Terrero Ramirez</t>
  </si>
  <si>
    <t>Fianyeli Ivelisse</t>
  </si>
  <si>
    <t>Mario Nelsy Martinez</t>
  </si>
  <si>
    <t>Luis Rodriguez</t>
  </si>
  <si>
    <t>Leonelas Parede Hidalgo</t>
  </si>
  <si>
    <t>mally Maricel Ozoria</t>
  </si>
  <si>
    <t>Yudelka Ortiz</t>
  </si>
  <si>
    <t>Probando control de verciones</t>
  </si>
  <si>
    <t>nombre_del_negocio</t>
  </si>
  <si>
    <t>Jose anibal comunicaciones (tienda de celulares)</t>
  </si>
  <si>
    <t>Compucenter</t>
  </si>
  <si>
    <t>De arianny y laurianny fantasía y más</t>
  </si>
  <si>
    <t>Claro Perú</t>
  </si>
  <si>
    <t>no tiene</t>
  </si>
  <si>
    <t>Facebook</t>
  </si>
  <si>
    <t>Digital Bible</t>
  </si>
  <si>
    <t>2do intento</t>
  </si>
  <si>
    <t>telefono_del_trabajo</t>
  </si>
  <si>
    <t>+1(809) 443-9005</t>
  </si>
  <si>
    <t>+1(809) 698-5829</t>
  </si>
  <si>
    <t>+1(809) 613-8705</t>
  </si>
  <si>
    <t>+1(829) 918-5276</t>
  </si>
  <si>
    <t>+1(829) 558-2623</t>
  </si>
  <si>
    <t>+1(809) 981-7814</t>
  </si>
  <si>
    <t>+1(829) 454-5077</t>
  </si>
  <si>
    <t>+1(829) 492-7969</t>
  </si>
  <si>
    <t>3er intento</t>
  </si>
  <si>
    <t>whatsApp</t>
  </si>
  <si>
    <t>829-918-5276</t>
  </si>
  <si>
    <t>email</t>
  </si>
  <si>
    <t>klasico53@gmail.com</t>
  </si>
  <si>
    <t>elkacol_2002@hotmail.com</t>
  </si>
  <si>
    <t>annyterrero21@hotmail.com</t>
  </si>
  <si>
    <t>fianyeliysamuel@hotmail.com</t>
  </si>
  <si>
    <t>marionelsymartinez@gmail.com</t>
  </si>
  <si>
    <t>play_20boy@hotmail.com</t>
  </si>
  <si>
    <t>lanega008@gmail.com</t>
  </si>
  <si>
    <t>maricell051@hotmail.com</t>
  </si>
  <si>
    <t>la_yudih@hotmail.com</t>
  </si>
  <si>
    <t>direccion</t>
  </si>
  <si>
    <t>bario obrero  calle maxima gomez esquina con properidad en sima de la iglecia nueva adulan</t>
  </si>
  <si>
    <t>16 de agosto</t>
  </si>
  <si>
    <t>salome ureña #23</t>
  </si>
  <si>
    <t>pueblo</t>
  </si>
  <si>
    <t>monte plata municipio.yamasa los botado</t>
  </si>
  <si>
    <t>Los montones abajo San José de las Matas</t>
  </si>
  <si>
    <t>los abreu</t>
  </si>
  <si>
    <t>calle principal manolo tavares justo (navarrete)</t>
  </si>
  <si>
    <t>banegas villagonzalez</t>
  </si>
  <si>
    <t>ciudad</t>
  </si>
  <si>
    <t>Santiago de los Caballeros</t>
  </si>
  <si>
    <t>Mao</t>
  </si>
  <si>
    <t>Oviedo</t>
  </si>
  <si>
    <t>San Francisco de Macorís</t>
  </si>
  <si>
    <t>santo domingo</t>
  </si>
  <si>
    <t>San Francisco</t>
  </si>
  <si>
    <t>provincia</t>
  </si>
  <si>
    <t>santiago</t>
  </si>
  <si>
    <t>valverde</t>
  </si>
  <si>
    <t>pedernales</t>
  </si>
  <si>
    <t>duarte</t>
  </si>
  <si>
    <t>provincia monte plata</t>
  </si>
  <si>
    <t>Santiago</t>
  </si>
  <si>
    <t>san francisco de macoris</t>
  </si>
  <si>
    <t>Cedula</t>
  </si>
  <si>
    <t>036-0043873-7</t>
  </si>
  <si>
    <t>Datos adicionales</t>
  </si>
  <si>
    <t>IMEI: 014 451 007 420 705</t>
  </si>
  <si>
    <t>sistema</t>
  </si>
  <si>
    <t>app_disashop_</t>
  </si>
  <si>
    <t>disashop_pc</t>
  </si>
  <si>
    <t>Fecha</t>
  </si>
  <si>
    <t>2017-04-23T21:37:31-04:00</t>
  </si>
  <si>
    <t>2017-04-23T21:28:40-04:00</t>
  </si>
  <si>
    <t>2017-04-23T19:57:23-04:00</t>
  </si>
  <si>
    <t>2017-04-23T19:43:26-04:00</t>
  </si>
  <si>
    <t>2017-04-23T18:42:59-04:00</t>
  </si>
  <si>
    <t>2017-04-23T13:41:15-04:00</t>
  </si>
  <si>
    <t>2017-04-23T13:25:21-04:00</t>
  </si>
  <si>
    <t>2017-04-23T10:20:07-04:00</t>
  </si>
  <si>
    <t>2017-04-23T09:37:37-04:00</t>
  </si>
  <si>
    <t>mensaje_(opcional)</t>
  </si>
  <si>
    <t>me interesa poner recarga en mi negocio</t>
  </si>
  <si>
    <t>siempre</t>
  </si>
  <si>
    <t>me interesa vender recargas</t>
  </si>
  <si>
    <t>sii</t>
  </si>
  <si>
    <t>como las ponen las rescarga</t>
  </si>
  <si>
    <t>Quiero vender tarjeta</t>
  </si>
  <si>
    <t>vender recarga orange</t>
  </si>
  <si>
    <t>erick yunior</t>
  </si>
  <si>
    <t>me intetesa vender recarga</t>
  </si>
  <si>
    <t>Notas</t>
  </si>
  <si>
    <t>`-El cliente vendia recargas en el año 2011.  ` -Contactado por Whastapp</t>
  </si>
  <si>
    <r>
      <rPr>
        <sz val="9"/>
        <color theme="0" tint="-0.34998626667073579"/>
        <rFont val="Calibri"/>
        <family val="2"/>
        <scheme val="minor"/>
      </rPr>
      <t xml:space="preserve">Lunes 24 abril 2017. </t>
    </r>
    <r>
      <rPr>
        <sz val="11"/>
        <color theme="1"/>
        <rFont val="Calibri"/>
        <family val="2"/>
        <scheme val="minor"/>
      </rPr>
      <t>El cliente no tiene negocio y al explicarle que las recargas no son rentables para personas este cambio de opinio y decidio pensarlo.</t>
    </r>
  </si>
  <si>
    <r>
      <rPr>
        <sz val="8"/>
        <color theme="0" tint="-0.34998626667073579"/>
        <rFont val="Calibri"/>
        <family val="2"/>
        <scheme val="minor"/>
      </rPr>
      <t>Lunes 24 abril 2017</t>
    </r>
    <r>
      <rPr>
        <sz val="10"/>
        <color theme="1"/>
        <rFont val="Calibri"/>
        <family val="2"/>
        <scheme val="minor"/>
      </rPr>
      <t>. La  cliente mostro interes por el celular android de la empresa. Ella quedo en hablar con su esposo antes de tomar la decicion. Ella quedo en contactarme en un rato para decirme si le interesa o no *</t>
    </r>
  </si>
  <si>
    <t>Contacto:
WhatsApp…</t>
  </si>
  <si>
    <t>El cliente no tiene negocio, pero aun sabiendo el margen de ganancia que le dejaria la recarga, a este le interesa. EL quedo en hablar con su esposa para luego decirme si continuara con la instalacion.</t>
  </si>
  <si>
    <t>el cliente realizo el deposito esta tarde por el banco de Reservas de un monto de 3,000 pesos. Este tiene como referncia "Luis Rodriguez". Numero de documento del deposito: 242 163 858.</t>
  </si>
  <si>
    <t>Seguimiento 1</t>
  </si>
  <si>
    <t>Seguimiento 2</t>
  </si>
  <si>
    <t>Seguimiento 3</t>
  </si>
  <si>
    <t>l:397429477308251</t>
  </si>
  <si>
    <t>l:397408943976971</t>
  </si>
  <si>
    <t>l:397348450649687</t>
  </si>
  <si>
    <t>l:397340317317167</t>
  </si>
  <si>
    <t>l:397287630655769</t>
  </si>
  <si>
    <t>l:397210963996769</t>
  </si>
  <si>
    <t>l:397082640676268</t>
  </si>
  <si>
    <t>l:397014210683111</t>
  </si>
  <si>
    <t>l:396958400688692</t>
  </si>
  <si>
    <t>created_time</t>
  </si>
  <si>
    <t>2017-04-24T23:35:03-04:00</t>
  </si>
  <si>
    <t>2017-04-24T22:44:52-04:00</t>
  </si>
  <si>
    <t>2017-04-24T19:33:59-04:00</t>
  </si>
  <si>
    <t>2017-04-24T19:12:29-04:00</t>
  </si>
  <si>
    <t>2017-04-24T15:53:00-04:00</t>
  </si>
  <si>
    <t>2017-04-24T12:26:44-04:00</t>
  </si>
  <si>
    <t>2017-04-24T07:34:34-04:00</t>
  </si>
  <si>
    <t>2017-04-24T03:29:17-04:00</t>
  </si>
  <si>
    <t>2017-04-24T00:08:31-04:00</t>
  </si>
  <si>
    <t>Lic Vinicio Cruz</t>
  </si>
  <si>
    <t>Juan Reinoso Peña</t>
  </si>
  <si>
    <t>Nicolas Tejada Cabrera</t>
  </si>
  <si>
    <t>Derwin Rodríguez</t>
  </si>
  <si>
    <t>Yuleisy Marte Polanco</t>
  </si>
  <si>
    <t>Viviana D de la Cruz</t>
  </si>
  <si>
    <t>Ruddy Reynoso</t>
  </si>
  <si>
    <t>Tuh Peluche Marte</t>
  </si>
  <si>
    <t>Yamilka Reynoso Velasquez</t>
  </si>
  <si>
    <t>CRIOLLA 106.1 FM</t>
  </si>
  <si>
    <t>none</t>
  </si>
  <si>
    <t>personal</t>
  </si>
  <si>
    <t>Los Gomez</t>
  </si>
  <si>
    <t>casa</t>
  </si>
  <si>
    <t>Trabajo Por Cuenta Propia</t>
  </si>
  <si>
    <t>Musicalisimo</t>
  </si>
  <si>
    <t>McDonald's</t>
  </si>
  <si>
    <t>829-261-2878</t>
  </si>
  <si>
    <t>seria mas racil y mas util</t>
  </si>
  <si>
    <t>+1(809) 886-9160</t>
  </si>
  <si>
    <t>+1(829) 792-3970</t>
  </si>
  <si>
    <t>+1(809) 719-6528</t>
  </si>
  <si>
    <t>+1(829) 261-2879</t>
  </si>
  <si>
    <t>+1(809) 459-6586</t>
  </si>
  <si>
    <t>+1(809) 360-0768</t>
  </si>
  <si>
    <t>+1(829) 657-0631</t>
  </si>
  <si>
    <t>+1(809) 670-2210</t>
  </si>
  <si>
    <t>+1(829) 479-0868</t>
  </si>
  <si>
    <t>viniciopublicidad2006@hotmail.com</t>
  </si>
  <si>
    <t>juanreinoso2011@live.com</t>
  </si>
  <si>
    <t>jose-tejada24@hotmail.com</t>
  </si>
  <si>
    <t>derwigomez99@gamil.com</t>
  </si>
  <si>
    <t>yuleika_2007@hotmail.com</t>
  </si>
  <si>
    <t>markisnairoby@gmail.com</t>
  </si>
  <si>
    <t>elsiervodedios_02@hotmail.com</t>
  </si>
  <si>
    <t>saiyayin931@gmail.com</t>
  </si>
  <si>
    <t>denissereynoso@hotmail.es</t>
  </si>
  <si>
    <t>C/3 #5; Ingenio Arriba, Santiago RD.</t>
  </si>
  <si>
    <t>c/ celestino cerda #33 harollo hondo arriba</t>
  </si>
  <si>
    <t>#2</t>
  </si>
  <si>
    <t>republicas dominicanas</t>
  </si>
  <si>
    <t>ensanche la rotonda calle2#5</t>
  </si>
  <si>
    <t>me interesa</t>
  </si>
  <si>
    <t>calle 21 casa 27 el ejido</t>
  </si>
  <si>
    <t>santiago buenos aires</t>
  </si>
  <si>
    <t>calle 5 num 24 de la union 2da ingenio arriba</t>
  </si>
  <si>
    <t>santiago de los caballero</t>
  </si>
  <si>
    <t>santiago de los caballeros</t>
  </si>
  <si>
    <t>santiago de lo caballero</t>
  </si>
  <si>
    <t>vender recarga</t>
  </si>
  <si>
    <t>hola kiero vendre recargas via mi androit</t>
  </si>
  <si>
    <t>no tengo empresa</t>
  </si>
  <si>
    <t>me gustaria tener el sistema de rescarga en mi negocio</t>
  </si>
  <si>
    <t>Deseo vender recargas pero es en casa</t>
  </si>
  <si>
    <t>me in</t>
  </si>
  <si>
    <t>yo kiero vende recarga</t>
  </si>
  <si>
    <t>para dar mejor servicio ya que trabajo en una empresa</t>
  </si>
  <si>
    <t>quiero inicial a vender recarga</t>
  </si>
  <si>
    <t>Nota</t>
  </si>
  <si>
    <t>EL cliente solicito el sistema para una persona que tiene una cafeteria, pero esa persona ya no quiere el servicio.</t>
  </si>
  <si>
    <t>Contectado por chat de Facebook.     El cliente vendia recargas antes, dejo de venderlas porque su probeedor no tenia balance cada vez que el la solicitaba.</t>
  </si>
  <si>
    <t>l:397866583931207</t>
  </si>
  <si>
    <t>l:397831970601335</t>
  </si>
  <si>
    <t>l:397830200601512</t>
  </si>
  <si>
    <t>l:397779257273273</t>
  </si>
  <si>
    <t>l:397765220608010</t>
  </si>
  <si>
    <t>l:397763133941552</t>
  </si>
  <si>
    <t>l:397756550608877</t>
  </si>
  <si>
    <t>l:397701673947698</t>
  </si>
  <si>
    <t>l:397622643955601</t>
  </si>
  <si>
    <t>l:397602483957617</t>
  </si>
  <si>
    <t>2017-04-25T22:57:38-04:00</t>
  </si>
  <si>
    <t>2017-04-25T20:19:52-04:00</t>
  </si>
  <si>
    <t>2017-04-25T20:09:15-04:00</t>
  </si>
  <si>
    <t>2017-04-25T16:25:57-04:00</t>
  </si>
  <si>
    <t>2017-04-25T15:35:59-04:00</t>
  </si>
  <si>
    <t>2017-04-25T15:26:22-04:00</t>
  </si>
  <si>
    <t>2017-04-25T15:00:25-04:00</t>
  </si>
  <si>
    <t>2017-04-25T12:36:41-04:00</t>
  </si>
  <si>
    <t>2017-04-25T09:33:17-04:00</t>
  </si>
  <si>
    <t>2017-04-25T08:39:48-04:00</t>
  </si>
  <si>
    <t>Domingo Parra</t>
  </si>
  <si>
    <t>Randy Mofi</t>
  </si>
  <si>
    <t>Claritza Gonzalez</t>
  </si>
  <si>
    <t>Jose Angel Mencia</t>
  </si>
  <si>
    <t>Edinso Colon</t>
  </si>
  <si>
    <t>willy Antonio Jiménez Rodríguez</t>
  </si>
  <si>
    <t>Jose Emilio Nunez</t>
  </si>
  <si>
    <t>Ruth Jimenez</t>
  </si>
  <si>
    <t>Randy Rodríguez</t>
  </si>
  <si>
    <t>Fausto Abel Fleuri Carrasco</t>
  </si>
  <si>
    <t>Randy Cell</t>
  </si>
  <si>
    <t>clary</t>
  </si>
  <si>
    <t>mencia rent a car</t>
  </si>
  <si>
    <t>Nada Evita Que Piense En Ti</t>
  </si>
  <si>
    <t>paredes Rivas &amp;asociados</t>
  </si>
  <si>
    <t>Tropicana 106.3 FM Montecristi</t>
  </si>
  <si>
    <t>tenico en servicio rodriguez</t>
  </si>
  <si>
    <t>cardisa</t>
  </si>
  <si>
    <t>+1(849) 918-9969</t>
  </si>
  <si>
    <t>+1(809) 575-8101</t>
  </si>
  <si>
    <t>+1(829) 280-4276</t>
  </si>
  <si>
    <t>+1(829) 505-5200</t>
  </si>
  <si>
    <t>+1(809) 998-4021</t>
  </si>
  <si>
    <t>+1(829) 674-9150</t>
  </si>
  <si>
    <t>+1(829) 252-9518</t>
  </si>
  <si>
    <t>+1(809) 664-7193</t>
  </si>
  <si>
    <t>+1(809) 907-1154</t>
  </si>
  <si>
    <t>809 998 4021</t>
  </si>
  <si>
    <t>829 252 9518</t>
  </si>
  <si>
    <t>mz442@hotmail.com</t>
  </si>
  <si>
    <t>randy_garcias@hotmail.com</t>
  </si>
  <si>
    <t>claritzagonzalez01@hotmail.com</t>
  </si>
  <si>
    <t>joseangelmencia@gmail.com</t>
  </si>
  <si>
    <t>edinsoncolon36@gtmail.col</t>
  </si>
  <si>
    <t>anddy092@hotmail.com</t>
  </si>
  <si>
    <t>tropicana106.3@hotmail.com</t>
  </si>
  <si>
    <t>jimenezruth808@gmail.com</t>
  </si>
  <si>
    <t>nicolas_ungido@hotmail.com</t>
  </si>
  <si>
    <t>estoyaquiabel@hotmail.com</t>
  </si>
  <si>
    <t>canbolla marilopez calle2 #47</t>
  </si>
  <si>
    <t>calle 16 #9 Los ciruelito</t>
  </si>
  <si>
    <t>las caobas</t>
  </si>
  <si>
    <t>calle javier Álvarez edif a4 apto 1b</t>
  </si>
  <si>
    <t>rsesivir estado</t>
  </si>
  <si>
    <t>los Reyes Santiago</t>
  </si>
  <si>
    <t>barrio bueno Aires</t>
  </si>
  <si>
    <t>el ejido calle 12 numero 14</t>
  </si>
  <si>
    <t>jacagua santiago</t>
  </si>
  <si>
    <t>altos de rafey</t>
  </si>
  <si>
    <t>Jamao al Morte</t>
  </si>
  <si>
    <t>El Copey</t>
  </si>
  <si>
    <t>La Canela</t>
  </si>
  <si>
    <t>San Fernando de Monte Cristi</t>
  </si>
  <si>
    <t>santiagos</t>
  </si>
  <si>
    <t>moca</t>
  </si>
  <si>
    <t>Puerto plata</t>
  </si>
  <si>
    <t>montecristy</t>
  </si>
  <si>
    <t>marcos</t>
  </si>
  <si>
    <t>quiero vender recarga</t>
  </si>
  <si>
    <t>me seria muy util el servicio tanto en mi negocio como en el sector donde vivo</t>
  </si>
  <si>
    <t>como resivir el sistema</t>
  </si>
  <si>
    <t>kiero vender recargar</t>
  </si>
  <si>
    <t>quiero tener más ingresos</t>
  </si>
  <si>
    <t>me gustaria vender recarga quisiera saber como puedo hacerlo</t>
  </si>
  <si>
    <t>quiero el cel andrio ya k no tengo andrio</t>
  </si>
  <si>
    <t>nota lo necesito para el colmado de mi prina esta ubicado en altos de rafey colm.fran</t>
  </si>
  <si>
    <t>l:398354683882397</t>
  </si>
  <si>
    <t>l:398266337224565</t>
  </si>
  <si>
    <t>l:398245867226612</t>
  </si>
  <si>
    <t>l:398160880568444</t>
  </si>
  <si>
    <t>l:398160787235120</t>
  </si>
  <si>
    <t>l:398129697238229</t>
  </si>
  <si>
    <t>l:398112577239941</t>
  </si>
  <si>
    <t>l:398023493915516</t>
  </si>
  <si>
    <t>l:398005413917324</t>
  </si>
  <si>
    <t>2017-04-26T23:21:35-04:00</t>
  </si>
  <si>
    <t>2017-04-26T16:29:20-04:00</t>
  </si>
  <si>
    <t>2017-04-26T15:19:46-04:00</t>
  </si>
  <si>
    <t>2017-04-26T12:31:05-04:00</t>
  </si>
  <si>
    <t>2017-04-26T12:30:45-04:00</t>
  </si>
  <si>
    <t>2017-04-26T11:26:26-04:00</t>
  </si>
  <si>
    <t>2017-04-26T10:53:55-04:00</t>
  </si>
  <si>
    <t>2017-04-26T06:06:47-04:00</t>
  </si>
  <si>
    <t>2017-04-26T05:16:34-04:00</t>
  </si>
  <si>
    <t>Erideivi Piña Ramirez</t>
  </si>
  <si>
    <t>Nelson Ramon Villalona ureña</t>
  </si>
  <si>
    <t>Nathanael Delarosa Vicioso</t>
  </si>
  <si>
    <t>Robert Rodriguez</t>
  </si>
  <si>
    <t>Julio Voltio Guzman</t>
  </si>
  <si>
    <t>Clari Galan</t>
  </si>
  <si>
    <t>Edwin Reyes</t>
  </si>
  <si>
    <t>Fabian Cabrera</t>
  </si>
  <si>
    <t>Genao María</t>
  </si>
  <si>
    <t>Golden International Supply</t>
  </si>
  <si>
    <t>General Cigar Company</t>
  </si>
  <si>
    <t>nathanael</t>
  </si>
  <si>
    <t>credifacil</t>
  </si>
  <si>
    <t>motoconcno</t>
  </si>
  <si>
    <t>privada</t>
  </si>
  <si>
    <t>swisher dominicana</t>
  </si>
  <si>
    <t>+1(829) 679-3003</t>
  </si>
  <si>
    <t>+1(809) 226-2455</t>
  </si>
  <si>
    <t>+1(809) 931-5795</t>
  </si>
  <si>
    <t>+1(829) 741-1062</t>
  </si>
  <si>
    <t>+1(829) 653-6901</t>
  </si>
  <si>
    <t>+1(809) 212-1537</t>
  </si>
  <si>
    <t>+1(809) 727-6478</t>
  </si>
  <si>
    <t>829 679 3003</t>
  </si>
  <si>
    <t>kiero saber si es k pagar primero para vender recarga</t>
  </si>
  <si>
    <t>epina@golden.com</t>
  </si>
  <si>
    <t>nvillalonaurn@hotmail.com</t>
  </si>
  <si>
    <t>dominicanisimo30051991@gmail.com</t>
  </si>
  <si>
    <t>robert05ro@hotmail.com</t>
  </si>
  <si>
    <t>julio.voltio2009@hotmail.com</t>
  </si>
  <si>
    <t>clairy-2010@hotmail.com</t>
  </si>
  <si>
    <t>edwin_reyes_21@hotmail.com</t>
  </si>
  <si>
    <t>the-demente15@hotmail.com</t>
  </si>
  <si>
    <t>maria1098.mv@gmail.com</t>
  </si>
  <si>
    <t>Pekín</t>
  </si>
  <si>
    <t>calle celetino cerda #6 harrollo hondo arriba</t>
  </si>
  <si>
    <t>sanjuan dela maguana</t>
  </si>
  <si>
    <t>calle buena vista</t>
  </si>
  <si>
    <t>k es hacer para eso</t>
  </si>
  <si>
    <t>Maimon Bonao</t>
  </si>
  <si>
    <t>vendedor</t>
  </si>
  <si>
    <t>las lavas villa gonzales</t>
  </si>
  <si>
    <t>El Túnel, Cañada Bonita</t>
  </si>
  <si>
    <t>sanjuan</t>
  </si>
  <si>
    <t>loma de cabrera</t>
  </si>
  <si>
    <t>maimon</t>
  </si>
  <si>
    <t>Villa Bisonó, Navarrete</t>
  </si>
  <si>
    <t>dajabon</t>
  </si>
  <si>
    <t>monseñor noel</t>
  </si>
  <si>
    <t>recarga</t>
  </si>
  <si>
    <t>estoy comensando un negocio</t>
  </si>
  <si>
    <t>soy taxita de uber y todas las noches monto muchss personas que quieren recargs creo que es un buen publico</t>
  </si>
  <si>
    <t>kiero vender</t>
  </si>
  <si>
    <t>me gustaria vender recargas</t>
  </si>
  <si>
    <t>megustaria trabajar eso en casa</t>
  </si>
  <si>
    <t>quiero vender</t>
  </si>
  <si>
    <t>4to intento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</si>
</sst>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6"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2"/>
      <color theme="0"/>
      <name val="Calibri"/>
      <family val="2"/>
      <scheme val="minor"/>
    </font>
    <font>
      <b/>
      <sz val="12"/>
      <color theme="1"/>
      <name val="Calibri"/>
      <family val="2"/>
      <scheme val="minor"/>
    </font>
    <font>
      <sz val="10"/>
      <color theme="1"/>
      <name val="Calibri"/>
      <family val="2"/>
      <scheme val="minor"/>
    </font>
    <font>
      <u/>
      <sz val="11"/>
      <color theme="10"/>
      <name val="Calibri"/>
      <family val="2"/>
      <scheme val="minor"/>
    </font>
    <font>
      <sz val="8"/>
      <color theme="0" tint="-0.34998626667073579"/>
      <name val="Calibri"/>
      <family val="2"/>
      <scheme val="minor"/>
    </font>
    <font>
      <sz val="9"/>
      <color theme="0" tint="-0.34998626667073579"/>
      <name val="Calibri"/>
      <family val="2"/>
      <scheme val="minor"/>
    </font>
    <font>
      <sz val="12"/>
      <color theme="1"/>
      <name val="Calibri"/>
      <family val="2"/>
      <scheme val="minor"/>
    </font>
    <font>
      <sz val="10"/>
      <color theme="0"/>
      <name val="Calibri"/>
      <family val="2"/>
      <scheme val="minor"/>
    </font>
  </fonts>
  <fills count="42">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00B050"/>
        <bgColor indexed="64"/>
      </patternFill>
    </fill>
    <fill>
      <patternFill patternType="solid">
        <fgColor theme="0"/>
        <bgColor indexed="64"/>
      </patternFill>
    </fill>
    <fill>
      <patternFill patternType="solid">
        <fgColor rgb="FFFF0000"/>
        <bgColor indexed="64"/>
      </patternFill>
    </fill>
    <fill>
      <patternFill patternType="solid">
        <fgColor rgb="FFFFC000"/>
        <bgColor indexed="64"/>
      </patternFill>
    </fill>
    <fill>
      <patternFill patternType="solid">
        <fgColor theme="9" tint="0.79998168889431442"/>
        <bgColor theme="9" tint="0.79998168889431442"/>
      </patternFill>
    </fill>
    <fill>
      <patternFill patternType="solid">
        <fgColor theme="0"/>
        <bgColor theme="9" tint="0.79998168889431442"/>
      </patternFill>
    </fill>
    <fill>
      <patternFill patternType="solid">
        <fgColor theme="2" tint="-0.749992370372631"/>
        <bgColor indexed="64"/>
      </patternFill>
    </fill>
    <fill>
      <patternFill patternType="solid">
        <fgColor rgb="FF7030A0"/>
        <bgColor indexed="64"/>
      </patternFill>
    </fill>
    <fill>
      <patternFill patternType="solid">
        <fgColor rgb="FF002060"/>
        <bgColor indexed="64"/>
      </patternFill>
    </fill>
  </fills>
  <borders count="1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theme="9"/>
      </left>
      <right style="thin">
        <color theme="9"/>
      </right>
      <top style="thin">
        <color theme="9"/>
      </top>
      <bottom style="thin">
        <color theme="9"/>
      </bottom>
      <diagonal/>
    </border>
    <border>
      <left style="thin">
        <color theme="9"/>
      </left>
      <right style="thin">
        <color theme="9"/>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21" fillId="0" borderId="0" applyNumberFormat="0" applyFill="0" applyBorder="0" applyAlignment="0" applyProtection="0"/>
  </cellStyleXfs>
  <cellXfs count="68">
    <xf numFmtId="0" fontId="0" fillId="0" borderId="0" xfId="0"/>
    <xf numFmtId="0" fontId="0" fillId="0" borderId="0" xfId="0" applyAlignment="1">
      <alignment horizontal="left"/>
    </xf>
    <xf numFmtId="0" fontId="0" fillId="0" borderId="0" xfId="0" applyAlignment="1">
      <alignment vertical="top" wrapText="1"/>
    </xf>
    <xf numFmtId="0" fontId="18" fillId="33" borderId="0" xfId="0" applyFont="1" applyFill="1"/>
    <xf numFmtId="0" fontId="18" fillId="33" borderId="0" xfId="0" applyFont="1" applyFill="1" applyAlignment="1">
      <alignment vertical="top"/>
    </xf>
    <xf numFmtId="0" fontId="18" fillId="34" borderId="0" xfId="0" applyFont="1" applyFill="1"/>
    <xf numFmtId="0" fontId="19" fillId="34" borderId="0" xfId="0" applyFont="1" applyFill="1"/>
    <xf numFmtId="0" fontId="18" fillId="33" borderId="0" xfId="0" applyFont="1" applyFill="1" applyAlignment="1">
      <alignment vertical="top" wrapText="1"/>
    </xf>
    <xf numFmtId="0" fontId="20" fillId="0" borderId="0" xfId="0" applyFont="1" applyAlignment="1">
      <alignment vertical="top" wrapText="1"/>
    </xf>
    <xf numFmtId="0" fontId="17" fillId="33" borderId="0" xfId="0" applyFont="1" applyFill="1"/>
    <xf numFmtId="0" fontId="21" fillId="0" borderId="0" xfId="42"/>
    <xf numFmtId="0" fontId="17" fillId="35" borderId="0" xfId="0" applyFont="1" applyFill="1"/>
    <xf numFmtId="0" fontId="0" fillId="0" borderId="0" xfId="0" applyAlignment="1">
      <alignment horizontal="left" wrapText="1"/>
    </xf>
    <xf numFmtId="0" fontId="0" fillId="0" borderId="0" xfId="0" applyAlignment="1">
      <alignment horizontal="left" vertical="top" wrapText="1"/>
    </xf>
    <xf numFmtId="0" fontId="18" fillId="33" borderId="0" xfId="0" applyFont="1" applyFill="1" applyAlignment="1">
      <alignment horizontal="left" wrapText="1"/>
    </xf>
    <xf numFmtId="0" fontId="0" fillId="0" borderId="0" xfId="0" applyFont="1" applyFill="1" applyAlignment="1">
      <alignment horizontal="left" wrapText="1"/>
    </xf>
    <xf numFmtId="0" fontId="18" fillId="33" borderId="0" xfId="0" applyFont="1" applyFill="1" applyAlignment="1"/>
    <xf numFmtId="0" fontId="0" fillId="0" borderId="0" xfId="0" applyAlignment="1"/>
    <xf numFmtId="0" fontId="17" fillId="33" borderId="0" xfId="0" applyFont="1" applyFill="1" applyAlignment="1">
      <alignment horizontal="left"/>
    </xf>
    <xf numFmtId="0" fontId="17" fillId="36" borderId="0" xfId="0" applyFont="1" applyFill="1"/>
    <xf numFmtId="0" fontId="17" fillId="35" borderId="0" xfId="0" applyFont="1" applyFill="1" applyAlignment="1">
      <alignment horizontal="left"/>
    </xf>
    <xf numFmtId="0" fontId="0" fillId="0" borderId="0" xfId="0" applyAlignment="1">
      <alignment horizontal="left" vertical="top"/>
    </xf>
    <xf numFmtId="0" fontId="18" fillId="33" borderId="0" xfId="0" applyFont="1" applyFill="1" applyAlignment="1">
      <alignment horizontal="left"/>
    </xf>
    <xf numFmtId="0" fontId="18" fillId="33" borderId="0" xfId="0" applyFont="1" applyFill="1" applyAlignment="1">
      <alignment horizontal="left" vertical="top"/>
    </xf>
    <xf numFmtId="0" fontId="18" fillId="33" borderId="0" xfId="0" applyFont="1" applyFill="1" applyAlignment="1">
      <alignment horizontal="left" vertical="top" wrapText="1"/>
    </xf>
    <xf numFmtId="14" fontId="0" fillId="0" borderId="0" xfId="0" applyNumberFormat="1" applyAlignment="1">
      <alignment vertical="top" wrapText="1"/>
    </xf>
    <xf numFmtId="0" fontId="0" fillId="0" borderId="0" xfId="0" applyAlignment="1">
      <alignment vertical="top"/>
    </xf>
    <xf numFmtId="0" fontId="20" fillId="0" borderId="0" xfId="0" applyFont="1" applyAlignment="1">
      <alignment vertical="top"/>
    </xf>
    <xf numFmtId="14" fontId="0" fillId="0" borderId="0" xfId="0" applyNumberFormat="1"/>
    <xf numFmtId="0" fontId="18" fillId="33" borderId="0" xfId="0" applyFont="1" applyFill="1" applyAlignment="1">
      <alignment horizontal="center" vertical="center"/>
    </xf>
    <xf numFmtId="14" fontId="0" fillId="0" borderId="0" xfId="0" applyNumberFormat="1" applyAlignment="1">
      <alignment horizontal="center" vertical="center"/>
    </xf>
    <xf numFmtId="0" fontId="0" fillId="0" borderId="0" xfId="0" applyAlignment="1">
      <alignment horizontal="center" vertical="center"/>
    </xf>
    <xf numFmtId="22" fontId="0" fillId="0" borderId="0" xfId="0" applyNumberFormat="1" applyAlignment="1">
      <alignment horizontal="center" vertical="center"/>
    </xf>
    <xf numFmtId="0" fontId="24" fillId="33" borderId="0" xfId="0" applyFont="1" applyFill="1"/>
    <xf numFmtId="0" fontId="0" fillId="33" borderId="0" xfId="0" applyFill="1"/>
    <xf numFmtId="0" fontId="0" fillId="0" borderId="0" xfId="0" applyAlignment="1">
      <alignment wrapText="1"/>
    </xf>
    <xf numFmtId="14" fontId="20" fillId="0" borderId="0" xfId="0" applyNumberFormat="1" applyFont="1" applyAlignment="1">
      <alignment vertical="top" wrapText="1"/>
    </xf>
    <xf numFmtId="0" fontId="18" fillId="33" borderId="10" xfId="0" applyFont="1" applyFill="1" applyBorder="1" applyAlignment="1">
      <alignment vertical="top" wrapText="1"/>
    </xf>
    <xf numFmtId="0" fontId="0" fillId="0" borderId="10" xfId="0" applyFont="1" applyBorder="1" applyAlignment="1">
      <alignment vertical="top" wrapText="1"/>
    </xf>
    <xf numFmtId="0" fontId="0" fillId="37" borderId="10" xfId="0" applyFont="1" applyFill="1" applyBorder="1" applyAlignment="1">
      <alignment vertical="top" wrapText="1"/>
    </xf>
    <xf numFmtId="14" fontId="0" fillId="0" borderId="10" xfId="0" applyNumberFormat="1" applyFont="1" applyBorder="1" applyAlignment="1">
      <alignment vertical="top" wrapText="1"/>
    </xf>
    <xf numFmtId="0" fontId="20" fillId="0" borderId="10" xfId="0" applyFont="1" applyBorder="1" applyAlignment="1">
      <alignment vertical="top" wrapText="1"/>
    </xf>
    <xf numFmtId="0" fontId="18" fillId="33" borderId="10" xfId="0" applyFont="1" applyFill="1" applyBorder="1"/>
    <xf numFmtId="0" fontId="0" fillId="37" borderId="10" xfId="0" applyFont="1" applyFill="1" applyBorder="1"/>
    <xf numFmtId="0" fontId="0" fillId="0" borderId="10" xfId="0" applyFont="1" applyBorder="1"/>
    <xf numFmtId="0" fontId="0" fillId="37" borderId="10" xfId="0" applyFont="1" applyFill="1" applyBorder="1" applyAlignment="1">
      <alignment horizontal="left"/>
    </xf>
    <xf numFmtId="0" fontId="18" fillId="33" borderId="10" xfId="0" applyFont="1" applyFill="1" applyBorder="1" applyAlignment="1">
      <alignment horizontal="left"/>
    </xf>
    <xf numFmtId="0" fontId="18" fillId="33" borderId="10" xfId="0" applyFont="1" applyFill="1" applyBorder="1" applyAlignment="1">
      <alignment horizontal="left" vertical="top"/>
    </xf>
    <xf numFmtId="0" fontId="0" fillId="0" borderId="10" xfId="0" applyFont="1" applyBorder="1" applyAlignment="1">
      <alignment horizontal="left" vertical="top"/>
    </xf>
    <xf numFmtId="0" fontId="18" fillId="33" borderId="10" xfId="0" applyFont="1" applyFill="1" applyBorder="1" applyAlignment="1">
      <alignment horizontal="left" vertical="top" wrapText="1"/>
    </xf>
    <xf numFmtId="0" fontId="0" fillId="0" borderId="10" xfId="0" applyFont="1" applyBorder="1" applyAlignment="1">
      <alignment horizontal="left" vertical="top" wrapText="1"/>
    </xf>
    <xf numFmtId="0" fontId="18" fillId="33" borderId="10" xfId="0" applyFont="1" applyFill="1" applyBorder="1" applyAlignment="1"/>
    <xf numFmtId="14" fontId="0" fillId="37" borderId="10" xfId="0" applyNumberFormat="1" applyFont="1" applyFill="1" applyBorder="1"/>
    <xf numFmtId="0" fontId="18" fillId="33" borderId="10" xfId="0" applyFont="1" applyFill="1" applyBorder="1" applyAlignment="1">
      <alignment wrapText="1"/>
    </xf>
    <xf numFmtId="14" fontId="0" fillId="0" borderId="10" xfId="0" applyNumberFormat="1" applyFont="1" applyBorder="1" applyAlignment="1">
      <alignment horizontal="left" vertical="top" wrapText="1"/>
    </xf>
    <xf numFmtId="0" fontId="20" fillId="0" borderId="10" xfId="0" applyFont="1" applyBorder="1" applyAlignment="1">
      <alignment horizontal="left" vertical="top" wrapText="1"/>
    </xf>
    <xf numFmtId="0" fontId="18" fillId="33" borderId="11" xfId="0" applyFont="1" applyFill="1" applyBorder="1" applyAlignment="1">
      <alignment horizontal="left" vertical="top" wrapText="1"/>
    </xf>
    <xf numFmtId="0" fontId="18" fillId="33" borderId="0" xfId="0" applyFont="1" applyFill="1" applyBorder="1" applyAlignment="1">
      <alignment horizontal="left" vertical="top" wrapText="1"/>
    </xf>
    <xf numFmtId="0" fontId="0" fillId="38" borderId="10" xfId="0" applyFont="1" applyFill="1" applyBorder="1" applyAlignment="1">
      <alignment horizontal="left"/>
    </xf>
    <xf numFmtId="0" fontId="0" fillId="38" borderId="10" xfId="0" applyFont="1" applyFill="1" applyBorder="1" applyAlignment="1">
      <alignment horizontal="left" vertical="top" wrapText="1"/>
    </xf>
    <xf numFmtId="0" fontId="0" fillId="38" borderId="10" xfId="0" applyFont="1" applyFill="1" applyBorder="1"/>
    <xf numFmtId="0" fontId="0" fillId="34" borderId="10" xfId="0" applyFont="1" applyFill="1" applyBorder="1" applyAlignment="1">
      <alignment horizontal="left" vertical="top" wrapText="1"/>
    </xf>
    <xf numFmtId="0" fontId="0" fillId="34" borderId="10" xfId="0" applyFont="1" applyFill="1" applyBorder="1"/>
    <xf numFmtId="0" fontId="17" fillId="39" borderId="0" xfId="0" applyFont="1" applyFill="1" applyAlignment="1">
      <alignment horizontal="left"/>
    </xf>
    <xf numFmtId="0" fontId="17" fillId="39" borderId="0" xfId="0" applyFont="1" applyFill="1" applyAlignment="1">
      <alignment vertical="top" wrapText="1"/>
    </xf>
    <xf numFmtId="0" fontId="25" fillId="39" borderId="10" xfId="0" applyFont="1" applyFill="1" applyBorder="1" applyAlignment="1">
      <alignment vertical="top" wrapText="1"/>
    </xf>
    <xf numFmtId="0" fontId="17" fillId="40" borderId="0" xfId="0" applyFont="1" applyFill="1"/>
    <xf numFmtId="0" fontId="17" fillId="41" borderId="0" xfId="0" applyFont="1" applyFill="1"/>
  </cellXfs>
  <cellStyles count="43">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o" xfId="6" builtinId="26" customBuiltin="1"/>
    <cellStyle name="Cálculo" xfId="11" builtinId="22" customBuiltin="1"/>
    <cellStyle name="Celda de comprobación" xfId="13" builtinId="23" customBuiltin="1"/>
    <cellStyle name="Celda vinculada" xfId="12" builtinId="24" customBuiltin="1"/>
    <cellStyle name="Encabezado 1" xfId="2" builtinId="16"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Hipervínculo" xfId="42" builtinId="8"/>
    <cellStyle name="Incorrecto" xfId="7" builtinId="27" customBuiltin="1"/>
    <cellStyle name="Neutral" xfId="8" builtinId="28" customBuiltin="1"/>
    <cellStyle name="Normal" xfId="0" builtinId="0"/>
    <cellStyle name="Notas" xfId="15" builtinId="10" customBuiltin="1"/>
    <cellStyle name="Salida" xfId="10" builtinId="21" customBuiltin="1"/>
    <cellStyle name="Texto de advertencia" xfId="14" builtinId="11" customBuiltin="1"/>
    <cellStyle name="Texto explicativo" xfId="16" builtinId="53" customBuiltin="1"/>
    <cellStyle name="Título" xfId="1" builtinId="15" customBuiltin="1"/>
    <cellStyle name="Título 2" xfId="3" builtinId="17" customBuiltin="1"/>
    <cellStyle name="Título 3" xfId="4" builtinId="18" customBuiltin="1"/>
    <cellStyle name="Total" xfId="17" builtinId="25" customBuiltin="1"/>
  </cellStyles>
  <dxfs count="20">
    <dxf>
      <font>
        <b/>
        <i val="0"/>
        <color theme="0"/>
      </font>
      <fill>
        <patternFill>
          <bgColor rgb="FF00B0F0"/>
        </patternFill>
      </fill>
    </dxf>
    <dxf>
      <font>
        <b/>
        <i val="0"/>
        <color theme="0"/>
      </font>
      <fill>
        <patternFill>
          <bgColor rgb="FFFF0000"/>
        </patternFill>
      </fill>
    </dxf>
    <dxf>
      <font>
        <b/>
        <i val="0"/>
        <color theme="0"/>
      </font>
      <fill>
        <patternFill>
          <bgColor rgb="FF00B0F0"/>
        </patternFill>
      </fill>
    </dxf>
    <dxf>
      <font>
        <b/>
        <i val="0"/>
        <color theme="0"/>
      </font>
      <fill>
        <patternFill>
          <bgColor rgb="FFFF0000"/>
        </patternFill>
      </fill>
    </dxf>
    <dxf>
      <font>
        <b/>
        <i val="0"/>
        <color theme="0"/>
      </font>
      <fill>
        <patternFill>
          <bgColor rgb="FF00B0F0"/>
        </patternFill>
      </fill>
    </dxf>
    <dxf>
      <font>
        <b/>
        <i val="0"/>
        <color theme="0"/>
      </font>
      <fill>
        <patternFill>
          <bgColor rgb="FFFF0000"/>
        </patternFill>
      </fill>
    </dxf>
    <dxf>
      <font>
        <b/>
        <i val="0"/>
        <color theme="0"/>
      </font>
      <fill>
        <patternFill>
          <bgColor rgb="FF00B0F0"/>
        </patternFill>
      </fill>
    </dxf>
    <dxf>
      <font>
        <b/>
        <i val="0"/>
        <color theme="0"/>
      </font>
      <fill>
        <patternFill>
          <bgColor rgb="FFFF0000"/>
        </patternFill>
      </fill>
    </dxf>
    <dxf>
      <font>
        <b/>
        <i val="0"/>
        <color theme="0"/>
      </font>
      <fill>
        <patternFill>
          <bgColor rgb="FF00B0F0"/>
        </patternFill>
      </fill>
    </dxf>
    <dxf>
      <font>
        <b/>
        <i val="0"/>
        <color theme="0"/>
      </font>
      <fill>
        <patternFill>
          <bgColor rgb="FFFF0000"/>
        </patternFill>
      </fill>
    </dxf>
    <dxf>
      <font>
        <b/>
        <strike val="0"/>
        <outline val="0"/>
        <shadow val="0"/>
        <u val="none"/>
        <vertAlign val="baseline"/>
        <sz val="12"/>
        <color theme="0"/>
        <name val="Calibri"/>
        <family val="2"/>
        <scheme val="minor"/>
      </font>
      <fill>
        <patternFill patternType="solid">
          <fgColor indexed="64"/>
          <bgColor rgb="FF00B050"/>
        </patternFill>
      </fill>
    </dxf>
    <dxf>
      <font>
        <b/>
        <i val="0"/>
        <color theme="0"/>
      </font>
      <fill>
        <patternFill>
          <bgColor rgb="FF00B0F0"/>
        </patternFill>
      </fill>
    </dxf>
    <dxf>
      <font>
        <b/>
        <i val="0"/>
        <color theme="0"/>
      </font>
      <fill>
        <patternFill>
          <bgColor rgb="FFFF0000"/>
        </patternFill>
      </fill>
    </dxf>
    <dxf>
      <font>
        <strike val="0"/>
        <outline val="0"/>
        <shadow val="0"/>
        <u val="none"/>
        <vertAlign val="baseline"/>
        <sz val="12"/>
        <name val="Calibri"/>
        <family val="2"/>
        <scheme val="minor"/>
      </font>
      <fill>
        <patternFill>
          <fgColor indexed="64"/>
          <bgColor rgb="FF00B050"/>
        </patternFill>
      </fill>
    </dxf>
    <dxf>
      <font>
        <b/>
        <i val="0"/>
        <color theme="0"/>
      </font>
      <fill>
        <patternFill>
          <bgColor rgb="FF00B0F0"/>
        </patternFill>
      </fill>
    </dxf>
    <dxf>
      <font>
        <b/>
        <i val="0"/>
        <color theme="0"/>
      </font>
      <fill>
        <patternFill>
          <bgColor rgb="FFFF0000"/>
        </patternFill>
      </fill>
    </dxf>
    <dxf>
      <alignment horizontal="center" vertical="center" textRotation="0" wrapText="0" indent="0" justifyLastLine="0" shrinkToFit="0" readingOrder="0"/>
    </dxf>
    <dxf>
      <font>
        <b/>
        <i val="0"/>
        <strike val="0"/>
        <condense val="0"/>
        <extend val="0"/>
        <outline val="0"/>
        <shadow val="0"/>
        <u val="none"/>
        <vertAlign val="baseline"/>
        <sz val="12"/>
        <color theme="0"/>
        <name val="Calibri"/>
        <family val="2"/>
        <scheme val="minor"/>
      </font>
      <fill>
        <patternFill patternType="solid">
          <fgColor indexed="64"/>
          <bgColor rgb="FF00B050"/>
        </patternFill>
      </fill>
    </dxf>
    <dxf>
      <font>
        <b/>
        <i val="0"/>
        <color theme="0"/>
      </font>
      <fill>
        <patternFill>
          <bgColor rgb="FF00B0F0"/>
        </patternFill>
      </fill>
    </dxf>
    <dxf>
      <font>
        <b/>
        <i val="0"/>
        <color theme="0"/>
      </font>
      <fill>
        <patternFill>
          <bgColor rgb="FFFF0000"/>
        </patternFill>
      </fill>
    </dxf>
  </dxfs>
  <tableStyles count="0" defaultTableStyle="TableStyleMedium2" defaultPivotStyle="PivotStyleLight16"/>
  <colors>
    <mruColors>
      <color rgb="FF66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ables/table1.xml><?xml version="1.0" encoding="utf-8"?>
<table xmlns="http://schemas.openxmlformats.org/spreadsheetml/2006/main" id="2" name="Tabla2" displayName="Tabla2" ref="A2:K31" totalsRowShown="0">
  <autoFilter ref="A2:K31"/>
  <tableColumns count="11">
    <tableColumn id="1" name="Columna1" dataDxfId="17"/>
    <tableColumn id="2" name="Columna2"/>
    <tableColumn id="3" name="Columna3"/>
    <tableColumn id="4" name="Columna4"/>
    <tableColumn id="5" name="Columna5"/>
    <tableColumn id="6" name="Columna6"/>
    <tableColumn id="7" name="Columna7"/>
    <tableColumn id="8" name="Columna8"/>
    <tableColumn id="9" name="Columna9"/>
    <tableColumn id="10" name="Columna10"/>
    <tableColumn id="11" name="Columna11" dataDxfId="16"/>
  </tableColumns>
  <tableStyleInfo name="TableStyleLight21" showFirstColumn="0" showLastColumn="0" showRowStripes="1" showColumnStripes="0"/>
</table>
</file>

<file path=xl/tables/table2.xml><?xml version="1.0" encoding="utf-8"?>
<table xmlns="http://schemas.openxmlformats.org/spreadsheetml/2006/main" id="1" name="Tabla1" displayName="Tabla1" ref="A1:J29" totalsRowShown="0">
  <autoFilter ref="A1:J29"/>
  <tableColumns count="10">
    <tableColumn id="1" name="Columna1" dataDxfId="13"/>
    <tableColumn id="2" name="Columna2"/>
    <tableColumn id="3" name="Columna3"/>
    <tableColumn id="4" name="Columna4"/>
    <tableColumn id="5" name="Columna5"/>
    <tableColumn id="6" name="Columna6"/>
    <tableColumn id="7" name="Columna7"/>
    <tableColumn id="8" name="Columna8"/>
    <tableColumn id="9" name="Columna9"/>
    <tableColumn id="10" name="Columna10"/>
  </tableColumns>
  <tableStyleInfo name="TableStyleLight21" showFirstColumn="0" showLastColumn="0" showRowStripes="1" showColumnStripes="0"/>
</table>
</file>

<file path=xl/tables/table3.xml><?xml version="1.0" encoding="utf-8"?>
<table xmlns="http://schemas.openxmlformats.org/spreadsheetml/2006/main" id="3" name="Tabla3" displayName="Tabla3" ref="A1:K29" totalsRowShown="0">
  <autoFilter ref="A1:K29"/>
  <tableColumns count="11">
    <tableColumn id="1" name="Columna1" dataDxfId="10"/>
    <tableColumn id="2" name="Columna2"/>
    <tableColumn id="3" name="Columna3"/>
    <tableColumn id="4" name="Columna4"/>
    <tableColumn id="5" name="Columna5"/>
    <tableColumn id="6" name="Columna6"/>
    <tableColumn id="7" name="Columna7"/>
    <tableColumn id="8" name="Columna8"/>
    <tableColumn id="9" name="Columna9"/>
    <tableColumn id="10" name="Columna10"/>
    <tableColumn id="11" name="Columna11"/>
  </tableColumns>
  <tableStyleInfo name="TableStyleLight21" showFirstColumn="0" showLastColumn="0" showRowStripes="1" showColumnStripes="0"/>
</table>
</file>

<file path=xl/tables/table4.xml><?xml version="1.0" encoding="utf-8"?>
<table xmlns="http://schemas.openxmlformats.org/spreadsheetml/2006/main" id="4" name="Tabla4" displayName="Tabla4" ref="A1:J29" totalsRowShown="0">
  <autoFilter ref="A1:J29"/>
  <tableColumns count="10">
    <tableColumn id="1" name="Columna1"/>
    <tableColumn id="2" name="Columna2"/>
    <tableColumn id="3" name="Columna3"/>
    <tableColumn id="4" name="Columna4"/>
    <tableColumn id="5" name="Columna5"/>
    <tableColumn id="6" name="Columna6"/>
    <tableColumn id="7" name="Columna7"/>
    <tableColumn id="8" name="Columna8"/>
    <tableColumn id="9" name="Columna9"/>
    <tableColumn id="10" name="Columna10"/>
  </tableColumns>
  <tableStyleInfo name="TableStyleLight21"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printerSettings" Target="../printerSettings/printerSettings1.bin"/><Relationship Id="rId1" Type="http://schemas.openxmlformats.org/officeDocument/2006/relationships/hyperlink" Target="mailto:klasico53@gmail.com" TargetMode="External"/></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K31"/>
  <sheetViews>
    <sheetView tabSelected="1" topLeftCell="A12" zoomScaleNormal="100" workbookViewId="0">
      <pane xSplit="1" topLeftCell="K1" activePane="topRight" state="frozen"/>
      <selection activeCell="A13" sqref="A13"/>
      <selection pane="topRight" activeCell="K16" sqref="K16"/>
    </sheetView>
  </sheetViews>
  <sheetFormatPr baseColWidth="10" defaultColWidth="11.42578125" defaultRowHeight="15.75" x14ac:dyDescent="0.25"/>
  <cols>
    <col min="1" max="1" width="22.42578125" style="5" customWidth="1"/>
    <col min="2" max="2" width="31.5703125" customWidth="1"/>
    <col min="3" max="11" width="29.140625" customWidth="1"/>
  </cols>
  <sheetData>
    <row r="1" spans="1:11" hidden="1" x14ac:dyDescent="0.25">
      <c r="A1" s="5" t="s">
        <v>0</v>
      </c>
      <c r="B1" t="s">
        <v>1</v>
      </c>
      <c r="C1" t="s">
        <v>2</v>
      </c>
      <c r="D1" t="s">
        <v>3</v>
      </c>
      <c r="E1" t="s">
        <v>4</v>
      </c>
      <c r="F1" t="s">
        <v>5</v>
      </c>
      <c r="G1" t="s">
        <v>6</v>
      </c>
      <c r="H1" t="s">
        <v>7</v>
      </c>
      <c r="I1" t="s">
        <v>8</v>
      </c>
      <c r="J1" t="s">
        <v>9</v>
      </c>
    </row>
    <row r="2" spans="1:11" hidden="1" x14ac:dyDescent="0.25">
      <c r="A2" s="6" t="s">
        <v>10</v>
      </c>
      <c r="B2" t="s">
        <v>11</v>
      </c>
      <c r="C2" t="s">
        <v>12</v>
      </c>
      <c r="D2" t="s">
        <v>13</v>
      </c>
      <c r="E2" t="s">
        <v>14</v>
      </c>
      <c r="F2" t="s">
        <v>15</v>
      </c>
      <c r="G2" t="s">
        <v>16</v>
      </c>
      <c r="H2" t="s">
        <v>17</v>
      </c>
      <c r="I2" t="s">
        <v>18</v>
      </c>
      <c r="J2" t="s">
        <v>19</v>
      </c>
      <c r="K2" t="s">
        <v>20</v>
      </c>
    </row>
    <row r="3" spans="1:11" hidden="1" x14ac:dyDescent="0.25">
      <c r="A3" s="3" t="s">
        <v>21</v>
      </c>
      <c r="B3" t="s">
        <v>22</v>
      </c>
      <c r="C3" t="s">
        <v>22</v>
      </c>
      <c r="D3" t="s">
        <v>22</v>
      </c>
      <c r="E3" t="s">
        <v>22</v>
      </c>
      <c r="F3" t="s">
        <v>22</v>
      </c>
      <c r="G3" t="s">
        <v>22</v>
      </c>
      <c r="H3" t="s">
        <v>22</v>
      </c>
      <c r="I3" t="s">
        <v>22</v>
      </c>
      <c r="J3" t="s">
        <v>22</v>
      </c>
    </row>
    <row r="4" spans="1:11" hidden="1" x14ac:dyDescent="0.25">
      <c r="A4" s="3" t="s">
        <v>23</v>
      </c>
      <c r="B4" t="s">
        <v>24</v>
      </c>
      <c r="C4" t="s">
        <v>24</v>
      </c>
      <c r="D4" t="s">
        <v>24</v>
      </c>
      <c r="E4" t="s">
        <v>24</v>
      </c>
      <c r="F4" t="s">
        <v>24</v>
      </c>
      <c r="G4" t="s">
        <v>24</v>
      </c>
      <c r="H4" t="s">
        <v>24</v>
      </c>
      <c r="I4" t="s">
        <v>24</v>
      </c>
      <c r="J4" t="s">
        <v>24</v>
      </c>
    </row>
    <row r="5" spans="1:11" hidden="1" x14ac:dyDescent="0.25">
      <c r="A5" s="3" t="s">
        <v>25</v>
      </c>
      <c r="B5" t="s">
        <v>26</v>
      </c>
      <c r="C5" t="s">
        <v>26</v>
      </c>
      <c r="D5" t="s">
        <v>26</v>
      </c>
      <c r="E5" t="s">
        <v>26</v>
      </c>
      <c r="F5" t="s">
        <v>26</v>
      </c>
      <c r="G5" t="s">
        <v>26</v>
      </c>
      <c r="H5" t="s">
        <v>26</v>
      </c>
      <c r="I5" t="s">
        <v>26</v>
      </c>
      <c r="J5" t="s">
        <v>26</v>
      </c>
    </row>
    <row r="6" spans="1:11" hidden="1" x14ac:dyDescent="0.25">
      <c r="A6" s="3" t="s">
        <v>27</v>
      </c>
      <c r="B6" t="s">
        <v>28</v>
      </c>
      <c r="C6" t="s">
        <v>28</v>
      </c>
      <c r="D6" t="s">
        <v>28</v>
      </c>
      <c r="E6" t="s">
        <v>28</v>
      </c>
      <c r="F6" t="s">
        <v>28</v>
      </c>
      <c r="G6" t="s">
        <v>28</v>
      </c>
      <c r="H6" t="s">
        <v>28</v>
      </c>
      <c r="I6" t="s">
        <v>28</v>
      </c>
      <c r="J6" t="s">
        <v>28</v>
      </c>
    </row>
    <row r="7" spans="1:11" hidden="1" x14ac:dyDescent="0.25">
      <c r="A7" s="3" t="s">
        <v>29</v>
      </c>
      <c r="B7" t="s">
        <v>30</v>
      </c>
      <c r="C7" t="s">
        <v>30</v>
      </c>
      <c r="D7" t="s">
        <v>30</v>
      </c>
      <c r="E7" t="s">
        <v>30</v>
      </c>
      <c r="F7" t="s">
        <v>30</v>
      </c>
      <c r="G7" t="s">
        <v>30</v>
      </c>
      <c r="H7" t="s">
        <v>30</v>
      </c>
      <c r="I7" t="s">
        <v>30</v>
      </c>
      <c r="J7" t="s">
        <v>30</v>
      </c>
    </row>
    <row r="8" spans="1:11" hidden="1" x14ac:dyDescent="0.25">
      <c r="A8" s="3" t="s">
        <v>31</v>
      </c>
      <c r="B8" t="s">
        <v>32</v>
      </c>
      <c r="C8" t="s">
        <v>32</v>
      </c>
      <c r="D8" t="s">
        <v>32</v>
      </c>
      <c r="E8" t="s">
        <v>32</v>
      </c>
      <c r="F8" t="s">
        <v>32</v>
      </c>
      <c r="G8" t="s">
        <v>32</v>
      </c>
      <c r="H8" t="s">
        <v>32</v>
      </c>
      <c r="I8" t="s">
        <v>32</v>
      </c>
      <c r="J8" t="s">
        <v>32</v>
      </c>
    </row>
    <row r="9" spans="1:11" hidden="1" x14ac:dyDescent="0.25">
      <c r="A9" s="3" t="s">
        <v>33</v>
      </c>
      <c r="B9" t="s">
        <v>34</v>
      </c>
      <c r="C9" t="s">
        <v>34</v>
      </c>
      <c r="D9" t="s">
        <v>34</v>
      </c>
      <c r="E9" t="s">
        <v>34</v>
      </c>
      <c r="F9" t="s">
        <v>34</v>
      </c>
      <c r="G9" t="s">
        <v>34</v>
      </c>
      <c r="H9" t="s">
        <v>34</v>
      </c>
      <c r="I9" t="s">
        <v>34</v>
      </c>
      <c r="J9" t="s">
        <v>34</v>
      </c>
    </row>
    <row r="10" spans="1:11" hidden="1" x14ac:dyDescent="0.25">
      <c r="A10" s="3" t="s">
        <v>35</v>
      </c>
      <c r="B10" t="s">
        <v>36</v>
      </c>
      <c r="C10" t="s">
        <v>36</v>
      </c>
      <c r="D10" t="s">
        <v>36</v>
      </c>
      <c r="E10" t="s">
        <v>36</v>
      </c>
      <c r="F10" t="s">
        <v>36</v>
      </c>
      <c r="G10" t="s">
        <v>36</v>
      </c>
      <c r="H10" t="s">
        <v>36</v>
      </c>
      <c r="I10" t="s">
        <v>36</v>
      </c>
      <c r="J10" t="s">
        <v>36</v>
      </c>
    </row>
    <row r="11" spans="1:11" hidden="1" x14ac:dyDescent="0.25">
      <c r="A11" s="3" t="s">
        <v>37</v>
      </c>
      <c r="B11" t="s">
        <v>38</v>
      </c>
      <c r="C11" t="s">
        <v>38</v>
      </c>
      <c r="D11" t="s">
        <v>38</v>
      </c>
      <c r="E11" t="s">
        <v>38</v>
      </c>
      <c r="F11" t="s">
        <v>38</v>
      </c>
      <c r="G11" t="s">
        <v>38</v>
      </c>
      <c r="H11" t="s">
        <v>38</v>
      </c>
      <c r="I11" t="s">
        <v>38</v>
      </c>
      <c r="J11" t="s">
        <v>38</v>
      </c>
    </row>
    <row r="12" spans="1:11" x14ac:dyDescent="0.25">
      <c r="A12" s="3" t="s">
        <v>39</v>
      </c>
      <c r="B12" s="9" t="s">
        <v>40</v>
      </c>
      <c r="C12" s="11" t="s">
        <v>41</v>
      </c>
      <c r="D12" s="9" t="s">
        <v>42</v>
      </c>
      <c r="E12" s="9" t="s">
        <v>43</v>
      </c>
      <c r="F12" s="11" t="s">
        <v>44</v>
      </c>
      <c r="G12" s="66" t="s">
        <v>45</v>
      </c>
      <c r="H12" s="19" t="s">
        <v>46</v>
      </c>
      <c r="I12" s="19" t="s">
        <v>47</v>
      </c>
      <c r="J12" s="19" t="s">
        <v>48</v>
      </c>
      <c r="K12" s="67" t="s">
        <v>49</v>
      </c>
    </row>
    <row r="13" spans="1:11" s="2" customFormat="1" ht="30" x14ac:dyDescent="0.25">
      <c r="A13" s="4" t="s">
        <v>50</v>
      </c>
      <c r="B13" s="2" t="s">
        <v>51</v>
      </c>
      <c r="C13" s="2" t="s">
        <v>52</v>
      </c>
      <c r="D13" s="2" t="s">
        <v>53</v>
      </c>
      <c r="E13" s="2" t="s">
        <v>54</v>
      </c>
      <c r="F13" s="2" t="s">
        <v>55</v>
      </c>
      <c r="G13" s="2" t="s">
        <v>56</v>
      </c>
      <c r="H13" s="2" t="s">
        <v>57</v>
      </c>
      <c r="I13" s="2" t="s">
        <v>56</v>
      </c>
      <c r="J13" s="2" t="s">
        <v>55</v>
      </c>
      <c r="K13" s="2" t="s">
        <v>58</v>
      </c>
    </row>
    <row r="14" spans="1:11" x14ac:dyDescent="0.25">
      <c r="A14" s="3" t="s">
        <v>59</v>
      </c>
      <c r="B14" t="s">
        <v>60</v>
      </c>
      <c r="C14" t="s">
        <v>61</v>
      </c>
      <c r="D14" t="s">
        <v>62</v>
      </c>
      <c r="E14" s="1">
        <v>18295250596</v>
      </c>
      <c r="F14" t="s">
        <v>63</v>
      </c>
      <c r="G14" t="s">
        <v>64</v>
      </c>
      <c r="H14" t="s">
        <v>65</v>
      </c>
      <c r="I14" t="s">
        <v>66</v>
      </c>
      <c r="J14" t="s">
        <v>67</v>
      </c>
      <c r="K14" t="s">
        <v>68</v>
      </c>
    </row>
    <row r="15" spans="1:11" x14ac:dyDescent="0.25">
      <c r="A15" s="3" t="s">
        <v>69</v>
      </c>
      <c r="B15" s="1">
        <v>8094439005</v>
      </c>
      <c r="C15" s="1">
        <v>8096985829</v>
      </c>
      <c r="D15" s="1">
        <v>8096138705</v>
      </c>
      <c r="E15" s="1">
        <v>8092706935</v>
      </c>
      <c r="F15" s="1" t="s">
        <v>70</v>
      </c>
      <c r="G15" s="1">
        <v>8295582623</v>
      </c>
      <c r="H15" s="1">
        <v>8099817814</v>
      </c>
      <c r="I15" s="1">
        <v>8294545077</v>
      </c>
      <c r="J15" s="1">
        <v>8294927969</v>
      </c>
      <c r="K15" t="s">
        <v>383</v>
      </c>
    </row>
    <row r="16" spans="1:11" ht="18.75" customHeight="1" x14ac:dyDescent="0.25">
      <c r="A16" s="3" t="s">
        <v>71</v>
      </c>
      <c r="B16" s="10" t="s">
        <v>72</v>
      </c>
      <c r="C16" t="s">
        <v>73</v>
      </c>
      <c r="D16" t="s">
        <v>74</v>
      </c>
      <c r="E16" t="s">
        <v>75</v>
      </c>
      <c r="F16" t="s">
        <v>76</v>
      </c>
      <c r="G16" t="s">
        <v>77</v>
      </c>
      <c r="H16" t="s">
        <v>78</v>
      </c>
      <c r="I16" t="s">
        <v>79</v>
      </c>
      <c r="J16" t="s">
        <v>80</v>
      </c>
    </row>
    <row r="17" spans="1:10" ht="45" x14ac:dyDescent="0.25">
      <c r="A17" s="4" t="s">
        <v>81</v>
      </c>
      <c r="B17" s="2" t="s">
        <v>82</v>
      </c>
      <c r="C17" s="2" t="s">
        <v>83</v>
      </c>
      <c r="D17" s="2" t="s">
        <v>84</v>
      </c>
      <c r="E17" s="2" t="s">
        <v>85</v>
      </c>
      <c r="F17" s="2" t="s">
        <v>86</v>
      </c>
      <c r="G17" s="2" t="s">
        <v>87</v>
      </c>
      <c r="H17" s="2" t="s">
        <v>88</v>
      </c>
      <c r="I17" s="2" t="s">
        <v>89</v>
      </c>
      <c r="J17" s="2" t="s">
        <v>90</v>
      </c>
    </row>
    <row r="18" spans="1:10" x14ac:dyDescent="0.25">
      <c r="A18" s="3" t="s">
        <v>91</v>
      </c>
      <c r="B18" t="s">
        <v>92</v>
      </c>
      <c r="C18" t="s">
        <v>93</v>
      </c>
      <c r="D18" t="s">
        <v>94</v>
      </c>
      <c r="E18" t="s">
        <v>95</v>
      </c>
      <c r="F18" t="s">
        <v>96</v>
      </c>
      <c r="G18" t="s">
        <v>92</v>
      </c>
      <c r="H18" t="s">
        <v>97</v>
      </c>
      <c r="I18" t="s">
        <v>92</v>
      </c>
      <c r="J18" t="s">
        <v>92</v>
      </c>
    </row>
    <row r="19" spans="1:10" x14ac:dyDescent="0.25">
      <c r="A19" s="3" t="s">
        <v>98</v>
      </c>
      <c r="B19" t="s">
        <v>99</v>
      </c>
      <c r="C19" t="s">
        <v>100</v>
      </c>
      <c r="D19" t="s">
        <v>101</v>
      </c>
      <c r="E19" t="s">
        <v>102</v>
      </c>
      <c r="F19" t="s">
        <v>103</v>
      </c>
      <c r="G19" t="s">
        <v>104</v>
      </c>
      <c r="H19" t="s">
        <v>105</v>
      </c>
      <c r="I19" t="s">
        <v>104</v>
      </c>
      <c r="J19" t="s">
        <v>99</v>
      </c>
    </row>
    <row r="20" spans="1:10" x14ac:dyDescent="0.25">
      <c r="A20" s="3" t="s">
        <v>106</v>
      </c>
      <c r="G20" t="s">
        <v>107</v>
      </c>
    </row>
    <row r="21" spans="1:10" x14ac:dyDescent="0.25">
      <c r="A21" s="3" t="s">
        <v>108</v>
      </c>
      <c r="G21" t="s">
        <v>109</v>
      </c>
    </row>
    <row r="22" spans="1:10" x14ac:dyDescent="0.25">
      <c r="A22" s="3" t="s">
        <v>110</v>
      </c>
      <c r="B22" t="s">
        <v>111</v>
      </c>
      <c r="C22" t="s">
        <v>111</v>
      </c>
      <c r="D22" t="s">
        <v>111</v>
      </c>
      <c r="E22" t="s">
        <v>112</v>
      </c>
      <c r="F22" t="s">
        <v>112</v>
      </c>
      <c r="G22" t="s">
        <v>111</v>
      </c>
      <c r="H22" t="s">
        <v>111</v>
      </c>
      <c r="I22" t="s">
        <v>112</v>
      </c>
      <c r="J22" t="s">
        <v>111</v>
      </c>
    </row>
    <row r="23" spans="1:10" hidden="1" x14ac:dyDescent="0.25">
      <c r="A23" s="3" t="s">
        <v>113</v>
      </c>
      <c r="B23" t="s">
        <v>114</v>
      </c>
      <c r="C23" t="s">
        <v>115</v>
      </c>
      <c r="D23" t="s">
        <v>116</v>
      </c>
      <c r="E23" t="s">
        <v>117</v>
      </c>
      <c r="F23" t="s">
        <v>118</v>
      </c>
      <c r="G23" t="s">
        <v>119</v>
      </c>
      <c r="H23" t="s">
        <v>120</v>
      </c>
      <c r="I23" t="s">
        <v>121</v>
      </c>
      <c r="J23" t="s">
        <v>122</v>
      </c>
    </row>
    <row r="24" spans="1:10" s="2" customFormat="1" ht="30" x14ac:dyDescent="0.25">
      <c r="A24" s="7" t="s">
        <v>123</v>
      </c>
      <c r="B24" s="2" t="s">
        <v>124</v>
      </c>
      <c r="C24" s="2" t="s">
        <v>125</v>
      </c>
      <c r="D24" s="2" t="s">
        <v>126</v>
      </c>
      <c r="E24" s="2" t="s">
        <v>127</v>
      </c>
      <c r="F24" s="2" t="s">
        <v>128</v>
      </c>
      <c r="G24" s="2" t="s">
        <v>129</v>
      </c>
      <c r="H24" s="2" t="s">
        <v>130</v>
      </c>
      <c r="I24" s="2" t="s">
        <v>131</v>
      </c>
      <c r="J24" s="2" t="s">
        <v>132</v>
      </c>
    </row>
    <row r="25" spans="1:10" s="2" customFormat="1" ht="90" x14ac:dyDescent="0.25">
      <c r="A25" s="7" t="s">
        <v>133</v>
      </c>
      <c r="B25" s="2" t="s">
        <v>134</v>
      </c>
      <c r="C25" s="2" t="s">
        <v>135</v>
      </c>
      <c r="D25" s="8" t="s">
        <v>136</v>
      </c>
      <c r="E25" s="8" t="s">
        <v>137</v>
      </c>
      <c r="F25" s="8" t="s">
        <v>138</v>
      </c>
      <c r="G25" s="8" t="s">
        <v>139</v>
      </c>
      <c r="H25" s="8" t="s">
        <v>137</v>
      </c>
      <c r="I25" s="8" t="s">
        <v>137</v>
      </c>
      <c r="J25" s="8" t="s">
        <v>137</v>
      </c>
    </row>
    <row r="26" spans="1:10" s="2" customFormat="1" ht="127.5" x14ac:dyDescent="0.25">
      <c r="A26" s="7" t="s">
        <v>140</v>
      </c>
      <c r="B26" s="2" t="str">
        <f ca="1">IF(B27=TODAY(),
"El cliente quedo en contactarme mañana para proceder con la instalacion. Contactar pasado mañana si el no me a contactado, para sabe si aun le interesa.
notificacion",
IF(B27&gt;TODAY(),
"Martes 25 Abril 2017. El cliente quedo en contactarme mañana para proceder con la instalacion. Contactar pasado mañana si el no me a contactado, para sabe si aun le interesa.",
"Martes 25 Abril 2017. El cliente quedo en contactarme mañana para proceder con la instalacion. Contactar pasado mañana si el no me a contactado, para sabe si aun le interesa.
caducada hace: "&amp;TODAY()-B27&amp;" dias"))</f>
        <v>Martes 25 Abril 2017. El cliente quedo en contactarme mañana para proceder con la instalacion. Contactar pasado mañana si el no me a contactado, para sabe si aun le interesa.
caducada hace: 2 dias</v>
      </c>
      <c r="C26" s="25" t="str">
        <f ca="1">IF(C27=TODAY(),
"",
IF(C27&gt;TODAY(),
"",
""))</f>
        <v/>
      </c>
      <c r="D26" s="8" t="str">
        <f ca="1">IF(D27=TODAY(),
"La cliente quedo en instalar el sistema a final de mes. Contactar el lunes 1ero de mayo si esta no me ah contactado.
notificacion",
IF(D27&gt;TODAY(),
"La cliente quedo en instalar el sistema a final de mes. Contactar el lunes 1ero de mayo si esta no me ah contactado.
faltan: "&amp;D27-TODAY()&amp;" dias",
"La cliente quedo en instalar el sistema a final de mes. Contactar el lunes 1ero de mayo si esta no me ah contactado.
caducada"))</f>
        <v>La cliente quedo en instalar el sistema a final de mes. Contactar el lunes 1ero de mayo si esta no me ah contactado.
faltan: 4 dias</v>
      </c>
      <c r="E26" s="8" t="str">
        <f ca="1">IF(E27=TODAY(),
"La cliente consultara con su marido para saber si a este le interesaria instalar el sistema en una cafeteria que el tiene. La cliente me pidio que la contactara hoy a las 11:00 am, para saber su respuesta.
notificacion",
IF(E27&gt;TODAY(),
"La cliente consultara con su marido para saber si a este le interesaria instalar el sistema en una cafeteria que el tiene. La cliente me pidio que la contactara hoy a las 11:00 am, para saber su respuesta.
restan:"&amp;E27-TODAY(),
"La cliente consultara con su marido para saber si a este le interesaria instalar el sistema en una cafeteria que el tiene. La cliente me pidio que la contactara hoy a las 11:00 am, para saber su respuesta.
caducada hace: "&amp;TODAY()-E27))</f>
        <v>La cliente consultara con su marido para saber si a este le interesaria instalar el sistema en una cafeteria que el tiene. La cliente me pidio que la contactara hoy a las 11:00 am, para saber su respuesta.
notificacion</v>
      </c>
      <c r="F26" s="8" t="str">
        <f ca="1">IF(F27=TODAY(),
"",
IF(F27&gt;TODAY(),
"",
""))</f>
        <v/>
      </c>
      <c r="G26" s="8" t="str">
        <f ca="1">IF(G27=TODAY(),
"El cliento quedo en realizar el deposito el dia de hoy por el banco de Reservas de un monto de 3,000 pesos. Este tendra como referencia su numero de cedula. Contactar mañana 28/04/2017 si este no me ah contactado para saber que ah pasado.
notificacion",
IF(G27&gt;TODAY(),
"El cliento quedo en realizar el deposito el dia de hoy por el banco de Reservas de un monto de 3,000 pesos. Este tendra como referencia su numero de cedula. Contactar mañana 28/04/2017 si este no me ah contactado para saber que ah pasado.
faltan: "&amp;G27-TODAY()&amp;" dias",
"El cliento quedo en realizar el deposito el dia de hoy por el banco de Reservas de un monto de 3,000 pesos. Este tendra como referencia su numero de cedula. Contactar mañana 28/04/2017 si este no me ah contactado para saber que ah pasado.
caducada hace: "&amp;TODAY()-G27))</f>
        <v>El cliento quedo en realizar el deposito el dia de hoy por el banco de Reservas de un monto de 3,000 pesos. Este tendra como referencia su numero de cedula. Contactar mañana 28/04/2017 si este no me ah contactado para saber que ah pasado.
faltan: 1 dias</v>
      </c>
      <c r="H26" s="8" t="str">
        <f ca="1">IF(H27=TODAY(),
"",
IF(H27&gt;TODAY(),
"",
""))</f>
        <v/>
      </c>
      <c r="I26" s="8" t="str">
        <f ca="1">IF(I27=TODAY(),
"",
IF(I27&gt;TODAY(),
"",
""))</f>
        <v/>
      </c>
      <c r="J26" s="8" t="str">
        <f ca="1">IF(J27=TODAY(),
"",
IF(J27&gt;TODAY(),
"",
""))</f>
        <v/>
      </c>
    </row>
    <row r="27" spans="1:10" s="31" customFormat="1" x14ac:dyDescent="0.25">
      <c r="A27" s="29"/>
      <c r="B27" s="30">
        <v>42850</v>
      </c>
      <c r="C27" s="30">
        <v>42852</v>
      </c>
      <c r="D27" s="30">
        <v>42856</v>
      </c>
      <c r="E27" s="30">
        <v>42852</v>
      </c>
      <c r="G27" s="30">
        <v>42853</v>
      </c>
    </row>
    <row r="28" spans="1:10" s="2" customFormat="1" ht="150" x14ac:dyDescent="0.25">
      <c r="A28" s="7" t="s">
        <v>141</v>
      </c>
      <c r="B28" s="2" t="str">
        <f ca="1">IF(B29=TODAY(),
"El cliente dice que si le interesa el sistema, pero que ahora mismo no tiene el dinero para instalarlo. Este quedo en contactarme a principio del proximo mes, dia 5."&amp;" Contactar el lunes 8 de mayo para saber si aun le interesa el sistema y una posible instalacion
notificacion",
IF(B29&gt;TODAY(),
"El cliente dice que si le interesa el sistema, pero que ahora mismo no tiene el dinero para instalarlo. Este quedo en contactarme a principio del proximo mes, dia 5."&amp;" Contactar el lunes 8 de mayo para saber si aun le interesa el sistema y una posible instalacion
faltan: "&amp;B29-TODAY()&amp;" dias",
"El cliente dice que si le interesa el sistema, pero que ahora mismo no tiene el dinero para instalarlo. Este quedo en "&amp;"contactarme a principio del proximo mes, dia 5. Contactar el lunes 8 de mayo para saber si aun le interesa el sistema y una posible instalacion
caducada hace: "&amp;TODAY()-B29))</f>
        <v>El cliente dice que si le interesa el sistema, pero que ahora mismo no tiene el dinero para instalarlo. Este quedo en contactarme a principio del proximo mes, dia 5. Contactar el lunes 8 de mayo para saber si aun le interesa el sistema y una posible instalacion
faltan: 11 dias</v>
      </c>
      <c r="C28" s="25" t="str">
        <f t="shared" ref="C28:J28" ca="1" si="0">IF(C29=TODAY(),
"",
IF(C29&gt;TODAY(),
"",
""))</f>
        <v/>
      </c>
      <c r="D28" s="8" t="str">
        <f t="shared" ca="1" si="0"/>
        <v/>
      </c>
      <c r="E28" s="8" t="str">
        <f t="shared" ca="1" si="0"/>
        <v/>
      </c>
      <c r="F28" s="8" t="str">
        <f t="shared" ca="1" si="0"/>
        <v/>
      </c>
      <c r="G28" s="8" t="str">
        <f t="shared" ca="1" si="0"/>
        <v/>
      </c>
      <c r="H28" s="8" t="str">
        <f t="shared" ca="1" si="0"/>
        <v/>
      </c>
      <c r="I28" s="8" t="str">
        <f t="shared" ca="1" si="0"/>
        <v/>
      </c>
      <c r="J28" s="8" t="str">
        <f t="shared" ca="1" si="0"/>
        <v/>
      </c>
    </row>
    <row r="29" spans="1:10" s="31" customFormat="1" x14ac:dyDescent="0.25">
      <c r="A29" s="29"/>
      <c r="B29" s="30">
        <v>42863</v>
      </c>
      <c r="C29" s="30">
        <f ca="1">TODAY()</f>
        <v>42852</v>
      </c>
    </row>
    <row r="30" spans="1:10" s="2" customFormat="1" x14ac:dyDescent="0.25">
      <c r="A30" s="7" t="s">
        <v>142</v>
      </c>
      <c r="B30" s="2" t="str">
        <f t="shared" ref="B30:J30" ca="1" si="1">IF(B31=TODAY(),
"",
IF(B31&gt;TODAY(),
"",
""))</f>
        <v/>
      </c>
      <c r="C30" s="25" t="str">
        <f t="shared" ca="1" si="1"/>
        <v/>
      </c>
      <c r="D30" s="8" t="str">
        <f t="shared" ca="1" si="1"/>
        <v/>
      </c>
      <c r="E30" s="8" t="str">
        <f t="shared" ca="1" si="1"/>
        <v/>
      </c>
      <c r="F30" s="8" t="str">
        <f t="shared" ca="1" si="1"/>
        <v/>
      </c>
      <c r="G30" s="8" t="str">
        <f t="shared" ca="1" si="1"/>
        <v/>
      </c>
      <c r="H30" s="8" t="str">
        <f t="shared" ca="1" si="1"/>
        <v/>
      </c>
      <c r="I30" s="8" t="str">
        <f t="shared" ca="1" si="1"/>
        <v/>
      </c>
      <c r="J30" s="8" t="str">
        <f t="shared" ca="1" si="1"/>
        <v/>
      </c>
    </row>
    <row r="31" spans="1:10" s="31" customFormat="1" x14ac:dyDescent="0.25">
      <c r="A31" s="29"/>
      <c r="B31" s="32"/>
    </row>
  </sheetData>
  <conditionalFormatting sqref="B26:J31">
    <cfRule type="containsText" dxfId="19" priority="1" operator="containsText" text="caducada">
      <formula>NOT(ISERROR(SEARCH("caducada",B26)))</formula>
    </cfRule>
    <cfRule type="containsText" dxfId="18" priority="2" operator="containsText" text="notificacion">
      <formula>NOT(ISERROR(SEARCH("notificacion",B26)))</formula>
    </cfRule>
  </conditionalFormatting>
  <hyperlinks>
    <hyperlink ref="B16" r:id="rId1"/>
  </hyperlinks>
  <pageMargins left="0.7" right="0.7" top="0.75" bottom="0.75" header="0.3" footer="0.3"/>
  <pageSetup orientation="portrait"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30"/>
  <sheetViews>
    <sheetView topLeftCell="A13" zoomScaleNormal="100" workbookViewId="0">
      <pane xSplit="1" topLeftCell="B1" activePane="topRight" state="frozen"/>
      <selection activeCell="A13" sqref="A13"/>
      <selection pane="topRight" activeCell="E13" sqref="E13"/>
    </sheetView>
  </sheetViews>
  <sheetFormatPr baseColWidth="10" defaultColWidth="11.42578125" defaultRowHeight="15" x14ac:dyDescent="0.25"/>
  <cols>
    <col min="1" max="1" width="21.85546875" customWidth="1"/>
    <col min="2" max="10" width="31.140625" customWidth="1"/>
  </cols>
  <sheetData>
    <row r="1" spans="1:10" hidden="1" x14ac:dyDescent="0.25">
      <c r="A1" t="s">
        <v>10</v>
      </c>
      <c r="B1" t="s">
        <v>11</v>
      </c>
      <c r="C1" t="s">
        <v>12</v>
      </c>
      <c r="D1" t="s">
        <v>13</v>
      </c>
      <c r="E1" t="s">
        <v>14</v>
      </c>
      <c r="F1" t="s">
        <v>15</v>
      </c>
      <c r="G1" t="s">
        <v>16</v>
      </c>
      <c r="H1" t="s">
        <v>17</v>
      </c>
      <c r="I1" t="s">
        <v>18</v>
      </c>
      <c r="J1" t="s">
        <v>19</v>
      </c>
    </row>
    <row r="2" spans="1:10" ht="15.75" hidden="1" x14ac:dyDescent="0.25">
      <c r="A2" s="33" t="s">
        <v>0</v>
      </c>
      <c r="B2" t="s">
        <v>143</v>
      </c>
      <c r="C2" t="s">
        <v>144</v>
      </c>
      <c r="D2" t="s">
        <v>145</v>
      </c>
      <c r="E2" t="s">
        <v>146</v>
      </c>
      <c r="F2" t="s">
        <v>147</v>
      </c>
      <c r="G2" t="s">
        <v>148</v>
      </c>
      <c r="H2" t="s">
        <v>149</v>
      </c>
      <c r="I2" t="s">
        <v>150</v>
      </c>
      <c r="J2" t="s">
        <v>151</v>
      </c>
    </row>
    <row r="3" spans="1:10" ht="15.75" hidden="1" x14ac:dyDescent="0.25">
      <c r="A3" s="33" t="s">
        <v>152</v>
      </c>
      <c r="B3" t="s">
        <v>153</v>
      </c>
      <c r="C3" t="s">
        <v>154</v>
      </c>
      <c r="D3" t="s">
        <v>155</v>
      </c>
      <c r="E3" t="s">
        <v>156</v>
      </c>
      <c r="F3" t="s">
        <v>157</v>
      </c>
      <c r="G3" t="s">
        <v>158</v>
      </c>
      <c r="H3" t="s">
        <v>159</v>
      </c>
      <c r="I3" t="s">
        <v>160</v>
      </c>
      <c r="J3" t="s">
        <v>161</v>
      </c>
    </row>
    <row r="4" spans="1:10" ht="15.75" hidden="1" x14ac:dyDescent="0.25">
      <c r="A4" s="33" t="s">
        <v>21</v>
      </c>
      <c r="B4" t="s">
        <v>22</v>
      </c>
      <c r="C4" t="s">
        <v>22</v>
      </c>
      <c r="D4" t="s">
        <v>22</v>
      </c>
      <c r="E4" t="s">
        <v>22</v>
      </c>
      <c r="F4" t="s">
        <v>22</v>
      </c>
      <c r="G4" t="s">
        <v>22</v>
      </c>
      <c r="H4" t="s">
        <v>22</v>
      </c>
      <c r="I4" t="s">
        <v>22</v>
      </c>
      <c r="J4" t="s">
        <v>22</v>
      </c>
    </row>
    <row r="5" spans="1:10" ht="15.75" hidden="1" x14ac:dyDescent="0.25">
      <c r="A5" s="33" t="s">
        <v>23</v>
      </c>
      <c r="B5" t="s">
        <v>24</v>
      </c>
      <c r="C5" t="s">
        <v>24</v>
      </c>
      <c r="D5" t="s">
        <v>24</v>
      </c>
      <c r="E5" t="s">
        <v>24</v>
      </c>
      <c r="F5" t="s">
        <v>24</v>
      </c>
      <c r="G5" t="s">
        <v>24</v>
      </c>
      <c r="H5" t="s">
        <v>24</v>
      </c>
      <c r="I5" t="s">
        <v>24</v>
      </c>
      <c r="J5" t="s">
        <v>24</v>
      </c>
    </row>
    <row r="6" spans="1:10" ht="15.75" hidden="1" x14ac:dyDescent="0.25">
      <c r="A6" s="33" t="s">
        <v>25</v>
      </c>
      <c r="B6" t="s">
        <v>26</v>
      </c>
      <c r="C6" t="s">
        <v>26</v>
      </c>
      <c r="D6" t="s">
        <v>26</v>
      </c>
      <c r="E6" t="s">
        <v>26</v>
      </c>
      <c r="F6" t="s">
        <v>26</v>
      </c>
      <c r="G6" t="s">
        <v>26</v>
      </c>
      <c r="H6" t="s">
        <v>26</v>
      </c>
      <c r="I6" t="s">
        <v>26</v>
      </c>
      <c r="J6" t="s">
        <v>26</v>
      </c>
    </row>
    <row r="7" spans="1:10" ht="15.75" hidden="1" x14ac:dyDescent="0.25">
      <c r="A7" s="33" t="s">
        <v>27</v>
      </c>
      <c r="B7" t="s">
        <v>28</v>
      </c>
      <c r="C7" t="s">
        <v>28</v>
      </c>
      <c r="D7" t="s">
        <v>28</v>
      </c>
      <c r="E7" t="s">
        <v>28</v>
      </c>
      <c r="F7" t="s">
        <v>28</v>
      </c>
      <c r="G7" t="s">
        <v>28</v>
      </c>
      <c r="H7" t="s">
        <v>28</v>
      </c>
      <c r="I7" t="s">
        <v>28</v>
      </c>
      <c r="J7" t="s">
        <v>28</v>
      </c>
    </row>
    <row r="8" spans="1:10" ht="15.75" hidden="1" x14ac:dyDescent="0.25">
      <c r="A8" s="33" t="s">
        <v>29</v>
      </c>
      <c r="B8" t="s">
        <v>30</v>
      </c>
      <c r="C8" t="s">
        <v>30</v>
      </c>
      <c r="D8" t="s">
        <v>30</v>
      </c>
      <c r="E8" t="s">
        <v>30</v>
      </c>
      <c r="F8" t="s">
        <v>30</v>
      </c>
      <c r="G8" t="s">
        <v>30</v>
      </c>
      <c r="H8" t="s">
        <v>30</v>
      </c>
      <c r="I8" t="s">
        <v>30</v>
      </c>
      <c r="J8" t="s">
        <v>30</v>
      </c>
    </row>
    <row r="9" spans="1:10" ht="15.75" hidden="1" x14ac:dyDescent="0.25">
      <c r="A9" s="33" t="s">
        <v>31</v>
      </c>
      <c r="B9" t="s">
        <v>32</v>
      </c>
      <c r="C9" t="s">
        <v>32</v>
      </c>
      <c r="D9" t="s">
        <v>32</v>
      </c>
      <c r="E9" t="s">
        <v>32</v>
      </c>
      <c r="F9" t="s">
        <v>32</v>
      </c>
      <c r="G9" t="s">
        <v>32</v>
      </c>
      <c r="H9" t="s">
        <v>32</v>
      </c>
      <c r="I9" t="s">
        <v>32</v>
      </c>
      <c r="J9" t="s">
        <v>32</v>
      </c>
    </row>
    <row r="10" spans="1:10" ht="15.75" hidden="1" x14ac:dyDescent="0.25">
      <c r="A10" s="33" t="s">
        <v>33</v>
      </c>
      <c r="B10" t="s">
        <v>34</v>
      </c>
      <c r="C10" t="s">
        <v>34</v>
      </c>
      <c r="D10" t="s">
        <v>34</v>
      </c>
      <c r="E10" t="s">
        <v>34</v>
      </c>
      <c r="F10" t="s">
        <v>34</v>
      </c>
      <c r="G10" t="s">
        <v>34</v>
      </c>
      <c r="H10" t="s">
        <v>34</v>
      </c>
      <c r="I10" t="s">
        <v>34</v>
      </c>
      <c r="J10" t="s">
        <v>34</v>
      </c>
    </row>
    <row r="11" spans="1:10" ht="15.75" hidden="1" x14ac:dyDescent="0.25">
      <c r="A11" s="33" t="s">
        <v>35</v>
      </c>
      <c r="B11" t="s">
        <v>36</v>
      </c>
      <c r="C11" t="s">
        <v>36</v>
      </c>
      <c r="D11" t="s">
        <v>36</v>
      </c>
      <c r="E11" t="s">
        <v>36</v>
      </c>
      <c r="F11" t="s">
        <v>36</v>
      </c>
      <c r="G11" t="s">
        <v>36</v>
      </c>
      <c r="H11" t="s">
        <v>36</v>
      </c>
      <c r="I11" t="s">
        <v>36</v>
      </c>
      <c r="J11" t="s">
        <v>36</v>
      </c>
    </row>
    <row r="12" spans="1:10" ht="15.75" hidden="1" x14ac:dyDescent="0.25">
      <c r="A12" s="33" t="s">
        <v>37</v>
      </c>
      <c r="B12" t="s">
        <v>38</v>
      </c>
      <c r="C12" t="s">
        <v>38</v>
      </c>
      <c r="D12" t="s">
        <v>38</v>
      </c>
      <c r="E12" t="s">
        <v>38</v>
      </c>
      <c r="F12" t="s">
        <v>38</v>
      </c>
      <c r="G12" t="s">
        <v>38</v>
      </c>
      <c r="H12" t="s">
        <v>38</v>
      </c>
      <c r="I12" t="s">
        <v>38</v>
      </c>
      <c r="J12" t="s">
        <v>38</v>
      </c>
    </row>
    <row r="13" spans="1:10" ht="15.75" x14ac:dyDescent="0.25">
      <c r="A13" s="3" t="s">
        <v>39</v>
      </c>
      <c r="B13" s="20" t="s">
        <v>162</v>
      </c>
      <c r="C13" s="63" t="s">
        <v>163</v>
      </c>
      <c r="D13" s="63" t="s">
        <v>164</v>
      </c>
      <c r="E13" s="18" t="s">
        <v>165</v>
      </c>
      <c r="F13" s="63" t="s">
        <v>166</v>
      </c>
      <c r="G13" s="63" t="s">
        <v>167</v>
      </c>
      <c r="H13" s="63" t="s">
        <v>168</v>
      </c>
      <c r="I13" s="63" t="s">
        <v>169</v>
      </c>
      <c r="J13" s="63" t="s">
        <v>170</v>
      </c>
    </row>
    <row r="14" spans="1:10" s="17" customFormat="1" ht="15.75" x14ac:dyDescent="0.25">
      <c r="A14" s="16" t="s">
        <v>50</v>
      </c>
      <c r="B14" s="17" t="s">
        <v>171</v>
      </c>
      <c r="C14" s="17" t="s">
        <v>172</v>
      </c>
      <c r="D14" s="17" t="s">
        <v>173</v>
      </c>
      <c r="E14" s="17" t="s">
        <v>174</v>
      </c>
      <c r="F14" s="17" t="s">
        <v>175</v>
      </c>
      <c r="G14" s="17" t="s">
        <v>176</v>
      </c>
      <c r="H14" s="17" t="s">
        <v>177</v>
      </c>
      <c r="I14" s="17" t="s">
        <v>178</v>
      </c>
      <c r="J14" s="17" t="s">
        <v>56</v>
      </c>
    </row>
    <row r="15" spans="1:10" s="12" customFormat="1" ht="15.75" x14ac:dyDescent="0.25">
      <c r="A15" s="14" t="s">
        <v>69</v>
      </c>
      <c r="B15" s="12">
        <v>8098869160</v>
      </c>
      <c r="C15" s="15">
        <v>8297923970</v>
      </c>
      <c r="D15" s="15">
        <v>8097196528</v>
      </c>
      <c r="E15" s="12" t="s">
        <v>179</v>
      </c>
      <c r="F15" s="12">
        <v>8094596586</v>
      </c>
      <c r="G15" s="12">
        <v>8093600738</v>
      </c>
      <c r="H15" s="12">
        <v>8296570631</v>
      </c>
      <c r="I15" s="12" t="s">
        <v>180</v>
      </c>
      <c r="J15" s="12">
        <v>8294790868</v>
      </c>
    </row>
    <row r="16" spans="1:10" ht="15.75" x14ac:dyDescent="0.25">
      <c r="A16" s="3" t="s">
        <v>59</v>
      </c>
      <c r="B16" t="s">
        <v>181</v>
      </c>
      <c r="C16" t="s">
        <v>182</v>
      </c>
      <c r="D16" t="s">
        <v>183</v>
      </c>
      <c r="E16" t="s">
        <v>184</v>
      </c>
      <c r="F16" t="s">
        <v>185</v>
      </c>
      <c r="G16" t="s">
        <v>186</v>
      </c>
      <c r="H16" t="s">
        <v>187</v>
      </c>
      <c r="I16" t="s">
        <v>188</v>
      </c>
      <c r="J16" t="s">
        <v>189</v>
      </c>
    </row>
    <row r="17" spans="1:10" ht="15.75" x14ac:dyDescent="0.25">
      <c r="A17" s="3" t="s">
        <v>71</v>
      </c>
      <c r="B17" s="10" t="s">
        <v>190</v>
      </c>
      <c r="C17" t="s">
        <v>191</v>
      </c>
      <c r="D17" t="s">
        <v>192</v>
      </c>
      <c r="E17" t="s">
        <v>193</v>
      </c>
      <c r="F17" t="s">
        <v>194</v>
      </c>
      <c r="G17" t="s">
        <v>195</v>
      </c>
      <c r="H17" t="s">
        <v>196</v>
      </c>
      <c r="I17" t="s">
        <v>197</v>
      </c>
      <c r="J17" t="s">
        <v>198</v>
      </c>
    </row>
    <row r="18" spans="1:10" ht="37.5" customHeight="1" x14ac:dyDescent="0.25">
      <c r="A18" s="4" t="s">
        <v>81</v>
      </c>
      <c r="B18" s="2" t="s">
        <v>199</v>
      </c>
      <c r="C18" s="2" t="s">
        <v>200</v>
      </c>
      <c r="D18" s="2" t="s">
        <v>201</v>
      </c>
      <c r="E18" s="2" t="s">
        <v>202</v>
      </c>
      <c r="F18" s="2" t="s">
        <v>203</v>
      </c>
      <c r="G18" s="2" t="s">
        <v>204</v>
      </c>
      <c r="H18" s="2" t="s">
        <v>205</v>
      </c>
      <c r="I18" s="2" t="s">
        <v>206</v>
      </c>
      <c r="J18" s="2" t="s">
        <v>207</v>
      </c>
    </row>
    <row r="19" spans="1:10" ht="15.75" x14ac:dyDescent="0.25">
      <c r="A19" s="3" t="s">
        <v>91</v>
      </c>
      <c r="B19" t="s">
        <v>92</v>
      </c>
      <c r="C19" t="s">
        <v>99</v>
      </c>
      <c r="D19" t="s">
        <v>92</v>
      </c>
      <c r="E19" t="s">
        <v>92</v>
      </c>
      <c r="F19" t="s">
        <v>104</v>
      </c>
      <c r="G19" t="s">
        <v>92</v>
      </c>
      <c r="H19" t="s">
        <v>92</v>
      </c>
      <c r="I19" t="s">
        <v>104</v>
      </c>
      <c r="J19" t="s">
        <v>208</v>
      </c>
    </row>
    <row r="20" spans="1:10" ht="15.75" x14ac:dyDescent="0.25">
      <c r="A20" s="3" t="s">
        <v>98</v>
      </c>
      <c r="B20" t="s">
        <v>104</v>
      </c>
      <c r="C20" t="s">
        <v>99</v>
      </c>
      <c r="D20" t="s">
        <v>99</v>
      </c>
      <c r="E20" t="s">
        <v>99</v>
      </c>
      <c r="F20" t="s">
        <v>209</v>
      </c>
      <c r="G20" t="s">
        <v>99</v>
      </c>
      <c r="H20" t="s">
        <v>210</v>
      </c>
      <c r="I20" t="s">
        <v>99</v>
      </c>
      <c r="J20" t="s">
        <v>99</v>
      </c>
    </row>
    <row r="21" spans="1:10" ht="15.75" x14ac:dyDescent="0.25">
      <c r="A21" s="7" t="s">
        <v>110</v>
      </c>
      <c r="B21" s="2" t="s">
        <v>111</v>
      </c>
      <c r="C21" s="2" t="s">
        <v>111</v>
      </c>
      <c r="D21" s="2" t="s">
        <v>111</v>
      </c>
      <c r="E21" s="2" t="s">
        <v>111</v>
      </c>
      <c r="F21" s="2" t="s">
        <v>111</v>
      </c>
      <c r="G21" s="2" t="s">
        <v>111</v>
      </c>
      <c r="H21" s="2" t="s">
        <v>111</v>
      </c>
      <c r="I21" s="2" t="s">
        <v>111</v>
      </c>
      <c r="J21" s="2" t="s">
        <v>111</v>
      </c>
    </row>
    <row r="22" spans="1:10" s="2" customFormat="1" ht="30" x14ac:dyDescent="0.25">
      <c r="A22" s="7" t="s">
        <v>123</v>
      </c>
      <c r="B22" s="2" t="s">
        <v>211</v>
      </c>
      <c r="C22" s="2" t="s">
        <v>212</v>
      </c>
      <c r="D22" s="2" t="s">
        <v>213</v>
      </c>
      <c r="E22" s="13" t="s">
        <v>214</v>
      </c>
      <c r="F22" s="2" t="s">
        <v>215</v>
      </c>
      <c r="G22" s="2" t="s">
        <v>216</v>
      </c>
      <c r="H22" s="2" t="s">
        <v>217</v>
      </c>
      <c r="I22" s="2" t="s">
        <v>218</v>
      </c>
      <c r="J22" s="2" t="s">
        <v>219</v>
      </c>
    </row>
    <row r="23" spans="1:10" ht="90" x14ac:dyDescent="0.25">
      <c r="A23" s="7" t="s">
        <v>220</v>
      </c>
      <c r="B23" s="2" t="s">
        <v>221</v>
      </c>
      <c r="C23" s="2"/>
      <c r="D23" s="2"/>
      <c r="E23" s="2" t="s">
        <v>222</v>
      </c>
      <c r="F23" s="2"/>
      <c r="G23" s="2"/>
      <c r="H23" s="2"/>
      <c r="I23" s="2"/>
      <c r="J23" s="2"/>
    </row>
    <row r="24" spans="1:10" s="35" customFormat="1" ht="140.25" x14ac:dyDescent="0.25">
      <c r="A24" s="7" t="s">
        <v>140</v>
      </c>
      <c r="B24" s="2" t="str">
        <f ca="1">IF(B25=TODAY(),
"",
IF(B25&gt;TODAY(),
"",
""))</f>
        <v/>
      </c>
      <c r="C24" s="2" t="str">
        <f ca="1">IF(C25=TODAY(),
"",
IF(C25&gt;TODAY(),
"",
""))</f>
        <v/>
      </c>
      <c r="D24" s="8" t="str">
        <f ca="1">IF(D25=TODAY(),
"",
IF(D25&gt;TODAY(),
"",
""))</f>
        <v/>
      </c>
      <c r="E24" s="8" t="str">
        <f ca="1">IF(E25=TODAY(),
"Martes 25 Abril 2017. El quedo en hablar con su padre antes de tomar la decicion de instalar el sistema. Quedo en contactarme en esta semana para darme una respuesta. "&amp;"Contactar la proxima semana si el no me ah contactado para saber si le interesa el servicio o si cambio de opinion.
notificacion",
IF(E25&gt;TODAY(),
"Martes 25 Abril 2017. El quedo en hablar con su padre antes de tomar la decicion de instalar el sistema. Quedo en contactarme en esta semana para darme una respuesta."&amp;" Contactar la proxima semana si el no me ah contactado para saber si le interesa el servicio o si cambio de opinion.
faltan: "&amp;E25-TODAY()&amp;" dias",
"Martes 25 Abril 2017. El quedo en hablar con su padre antes de tomar la decicion de instalar el sistema. Quedo en contactarme en esta semana para darme una respuesta."&amp;" Contactar la proxima semana si el no me ah contactado para saber si le interesa el servicio o si cambio de opinion.
caducada"))</f>
        <v>Martes 25 Abril 2017. El quedo en hablar con su padre antes de tomar la decicion de instalar el sistema. Quedo en contactarme en esta semana para darme una respuesta. Contactar la proxima semana si el no me ah contactado para saber si le interesa el servicio o si cambio de opinion.
faltan: 4 dias</v>
      </c>
      <c r="F24" s="8" t="str">
        <f ca="1">IF(F25=TODAY(),
"",
IF(F25&gt;TODAY(),
"",
""))</f>
        <v/>
      </c>
      <c r="G24" s="8" t="str">
        <f ca="1">IF(G25=TODAY(),
"",
IF(G25&gt;TODAY(),
"",
""))</f>
        <v/>
      </c>
      <c r="H24" s="8" t="str">
        <f ca="1">IF(H25=TODAY(),
"",
IF(H25&gt;TODAY(),
"",
""))</f>
        <v/>
      </c>
      <c r="I24" s="8" t="str">
        <f ca="1">IF(I25=TODAY(),
"",
IF(I25&gt;TODAY(),
"",
""))</f>
        <v/>
      </c>
      <c r="J24" s="8" t="str">
        <f ca="1">IF(J25=TODAY(),
"",
IF(J25&gt;TODAY(),
"",
""))</f>
        <v/>
      </c>
    </row>
    <row r="25" spans="1:10" x14ac:dyDescent="0.25">
      <c r="A25" s="34"/>
      <c r="E25" s="28">
        <v>42856</v>
      </c>
    </row>
    <row r="26" spans="1:10" ht="15.75" x14ac:dyDescent="0.25">
      <c r="A26" s="7" t="s">
        <v>141</v>
      </c>
      <c r="B26" s="2" t="str">
        <f t="shared" ref="B26:J26" ca="1" si="0">IF(B27=TODAY(),
"",
IF(B27&gt;TODAY(),
"",
""))</f>
        <v/>
      </c>
      <c r="C26" s="25" t="str">
        <f t="shared" ca="1" si="0"/>
        <v/>
      </c>
      <c r="D26" s="8" t="str">
        <f t="shared" ca="1" si="0"/>
        <v/>
      </c>
      <c r="E26" s="8" t="str">
        <f t="shared" ca="1" si="0"/>
        <v/>
      </c>
      <c r="F26" s="8" t="str">
        <f t="shared" ca="1" si="0"/>
        <v/>
      </c>
      <c r="G26" s="8" t="str">
        <f t="shared" ca="1" si="0"/>
        <v/>
      </c>
      <c r="H26" s="8" t="str">
        <f t="shared" ca="1" si="0"/>
        <v/>
      </c>
      <c r="I26" s="8" t="str">
        <f t="shared" ca="1" si="0"/>
        <v/>
      </c>
      <c r="J26" s="8" t="str">
        <f t="shared" ca="1" si="0"/>
        <v/>
      </c>
    </row>
    <row r="27" spans="1:10" x14ac:dyDescent="0.25">
      <c r="A27" s="34"/>
    </row>
    <row r="28" spans="1:10" ht="15.75" x14ac:dyDescent="0.25">
      <c r="A28" s="7" t="s">
        <v>142</v>
      </c>
      <c r="B28" s="2" t="str">
        <f t="shared" ref="B28:I28" ca="1" si="1">IF(B29=TODAY(),
"",
IF(B29&gt;TODAY(),
"",
""))</f>
        <v/>
      </c>
      <c r="C28" s="25" t="str">
        <f t="shared" ca="1" si="1"/>
        <v/>
      </c>
      <c r="D28" s="8" t="str">
        <f t="shared" ca="1" si="1"/>
        <v/>
      </c>
      <c r="E28" s="8" t="str">
        <f t="shared" ca="1" si="1"/>
        <v/>
      </c>
      <c r="F28" s="8" t="str">
        <f t="shared" ca="1" si="1"/>
        <v/>
      </c>
      <c r="G28" s="8" t="str">
        <f t="shared" ca="1" si="1"/>
        <v/>
      </c>
      <c r="H28" s="8" t="str">
        <f t="shared" ca="1" si="1"/>
        <v/>
      </c>
      <c r="I28" s="8" t="str">
        <f t="shared" ca="1" si="1"/>
        <v/>
      </c>
      <c r="J28" s="8" t="str">
        <f ca="1">IF(J29=TODAY(),
"notificacion",
IF(J29&gt;TODAY(),
"",
""))</f>
        <v/>
      </c>
    </row>
    <row r="29" spans="1:10" ht="15.75" x14ac:dyDescent="0.25">
      <c r="A29" s="7"/>
      <c r="B29" s="2"/>
      <c r="C29" s="2"/>
      <c r="D29" s="8"/>
      <c r="E29" s="8"/>
      <c r="F29" s="8"/>
      <c r="G29" s="8"/>
      <c r="H29" s="8"/>
      <c r="I29" s="8"/>
      <c r="J29" s="36"/>
    </row>
    <row r="30" spans="1:10" x14ac:dyDescent="0.25">
      <c r="J30" s="28"/>
    </row>
  </sheetData>
  <sheetProtection selectLockedCells="1" selectUnlockedCells="1"/>
  <conditionalFormatting sqref="B24:J29">
    <cfRule type="containsText" dxfId="15" priority="1" operator="containsText" text="caducada">
      <formula>NOT(ISERROR(SEARCH("caducada",B24)))</formula>
    </cfRule>
    <cfRule type="containsText" dxfId="14" priority="2" operator="containsText" text="notificacion">
      <formula>NOT(ISERROR(SEARCH("notificacion",B24)))</formula>
    </cfRule>
  </conditionalFormatting>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29"/>
  <sheetViews>
    <sheetView topLeftCell="A13" workbookViewId="0">
      <pane xSplit="1" topLeftCell="B1" activePane="topRight" state="frozen"/>
      <selection activeCell="A13" sqref="A13"/>
      <selection pane="topRight" activeCell="A14" sqref="A14"/>
    </sheetView>
  </sheetViews>
  <sheetFormatPr baseColWidth="10" defaultColWidth="11.42578125" defaultRowHeight="15" x14ac:dyDescent="0.25"/>
  <cols>
    <col min="1" max="1" width="22.5703125" customWidth="1"/>
    <col min="2" max="11" width="29.28515625" customWidth="1"/>
  </cols>
  <sheetData>
    <row r="1" spans="1:11" hidden="1" x14ac:dyDescent="0.25">
      <c r="A1" t="s">
        <v>10</v>
      </c>
      <c r="B1" t="s">
        <v>11</v>
      </c>
      <c r="C1" t="s">
        <v>12</v>
      </c>
      <c r="D1" t="s">
        <v>13</v>
      </c>
      <c r="E1" t="s">
        <v>14</v>
      </c>
      <c r="F1" t="s">
        <v>15</v>
      </c>
      <c r="G1" t="s">
        <v>16</v>
      </c>
      <c r="H1" t="s">
        <v>17</v>
      </c>
      <c r="I1" t="s">
        <v>18</v>
      </c>
      <c r="J1" t="s">
        <v>19</v>
      </c>
      <c r="K1" t="s">
        <v>20</v>
      </c>
    </row>
    <row r="2" spans="1:11" ht="15.75" hidden="1" x14ac:dyDescent="0.25">
      <c r="A2" s="3" t="s">
        <v>0</v>
      </c>
      <c r="B2" t="s">
        <v>223</v>
      </c>
      <c r="C2" t="s">
        <v>224</v>
      </c>
      <c r="D2" t="s">
        <v>225</v>
      </c>
      <c r="E2" t="s">
        <v>226</v>
      </c>
      <c r="F2" t="s">
        <v>227</v>
      </c>
      <c r="G2" t="s">
        <v>228</v>
      </c>
      <c r="H2" t="s">
        <v>229</v>
      </c>
      <c r="I2" t="s">
        <v>230</v>
      </c>
      <c r="J2" t="s">
        <v>231</v>
      </c>
      <c r="K2" t="s">
        <v>232</v>
      </c>
    </row>
    <row r="3" spans="1:11" ht="15.75" hidden="1" x14ac:dyDescent="0.25">
      <c r="A3" s="3" t="s">
        <v>152</v>
      </c>
      <c r="B3" t="s">
        <v>233</v>
      </c>
      <c r="C3" t="s">
        <v>234</v>
      </c>
      <c r="D3" t="s">
        <v>235</v>
      </c>
      <c r="E3" t="s">
        <v>236</v>
      </c>
      <c r="F3" t="s">
        <v>237</v>
      </c>
      <c r="G3" t="s">
        <v>238</v>
      </c>
      <c r="H3" t="s">
        <v>239</v>
      </c>
      <c r="I3" t="s">
        <v>240</v>
      </c>
      <c r="J3" t="s">
        <v>241</v>
      </c>
      <c r="K3" t="s">
        <v>242</v>
      </c>
    </row>
    <row r="4" spans="1:11" ht="15.75" hidden="1" x14ac:dyDescent="0.25">
      <c r="A4" s="3" t="s">
        <v>21</v>
      </c>
      <c r="B4" t="s">
        <v>22</v>
      </c>
      <c r="C4" t="s">
        <v>22</v>
      </c>
      <c r="D4" t="s">
        <v>22</v>
      </c>
      <c r="E4" t="s">
        <v>22</v>
      </c>
      <c r="F4" t="s">
        <v>22</v>
      </c>
      <c r="G4" t="s">
        <v>22</v>
      </c>
      <c r="H4" t="s">
        <v>22</v>
      </c>
      <c r="I4" t="s">
        <v>22</v>
      </c>
      <c r="J4" t="s">
        <v>22</v>
      </c>
      <c r="K4" t="s">
        <v>22</v>
      </c>
    </row>
    <row r="5" spans="1:11" ht="15.75" hidden="1" x14ac:dyDescent="0.25">
      <c r="A5" s="3" t="s">
        <v>23</v>
      </c>
      <c r="B5" t="s">
        <v>24</v>
      </c>
      <c r="C5" t="s">
        <v>24</v>
      </c>
      <c r="D5" t="s">
        <v>24</v>
      </c>
      <c r="E5" t="s">
        <v>24</v>
      </c>
      <c r="F5" t="s">
        <v>24</v>
      </c>
      <c r="G5" t="s">
        <v>24</v>
      </c>
      <c r="H5" t="s">
        <v>24</v>
      </c>
      <c r="I5" t="s">
        <v>24</v>
      </c>
      <c r="J5" t="s">
        <v>24</v>
      </c>
      <c r="K5" t="s">
        <v>24</v>
      </c>
    </row>
    <row r="6" spans="1:11" ht="15.75" hidden="1" x14ac:dyDescent="0.25">
      <c r="A6" s="3" t="s">
        <v>25</v>
      </c>
      <c r="B6" t="s">
        <v>26</v>
      </c>
      <c r="C6" t="s">
        <v>26</v>
      </c>
      <c r="D6" t="s">
        <v>26</v>
      </c>
      <c r="E6" t="s">
        <v>26</v>
      </c>
      <c r="F6" t="s">
        <v>26</v>
      </c>
      <c r="G6" t="s">
        <v>26</v>
      </c>
      <c r="H6" t="s">
        <v>26</v>
      </c>
      <c r="I6" t="s">
        <v>26</v>
      </c>
      <c r="J6" t="s">
        <v>26</v>
      </c>
      <c r="K6" t="s">
        <v>26</v>
      </c>
    </row>
    <row r="7" spans="1:11" ht="15.75" hidden="1" x14ac:dyDescent="0.25">
      <c r="A7" s="3" t="s">
        <v>27</v>
      </c>
      <c r="B7" t="s">
        <v>28</v>
      </c>
      <c r="C7" t="s">
        <v>28</v>
      </c>
      <c r="D7" t="s">
        <v>28</v>
      </c>
      <c r="E7" t="s">
        <v>28</v>
      </c>
      <c r="F7" t="s">
        <v>28</v>
      </c>
      <c r="G7" t="s">
        <v>28</v>
      </c>
      <c r="H7" t="s">
        <v>28</v>
      </c>
      <c r="I7" t="s">
        <v>28</v>
      </c>
      <c r="J7" t="s">
        <v>28</v>
      </c>
      <c r="K7" t="s">
        <v>28</v>
      </c>
    </row>
    <row r="8" spans="1:11" ht="15.75" hidden="1" x14ac:dyDescent="0.25">
      <c r="A8" s="3" t="s">
        <v>29</v>
      </c>
      <c r="B8" t="s">
        <v>30</v>
      </c>
      <c r="C8" t="s">
        <v>30</v>
      </c>
      <c r="D8" t="s">
        <v>30</v>
      </c>
      <c r="E8" t="s">
        <v>30</v>
      </c>
      <c r="F8" t="s">
        <v>30</v>
      </c>
      <c r="G8" t="s">
        <v>30</v>
      </c>
      <c r="H8" t="s">
        <v>30</v>
      </c>
      <c r="I8" t="s">
        <v>30</v>
      </c>
      <c r="J8" t="s">
        <v>30</v>
      </c>
      <c r="K8" t="s">
        <v>30</v>
      </c>
    </row>
    <row r="9" spans="1:11" ht="15.75" hidden="1" x14ac:dyDescent="0.25">
      <c r="A9" s="3" t="s">
        <v>31</v>
      </c>
      <c r="B9" t="s">
        <v>32</v>
      </c>
      <c r="C9" t="s">
        <v>32</v>
      </c>
      <c r="D9" t="s">
        <v>32</v>
      </c>
      <c r="E9" t="s">
        <v>32</v>
      </c>
      <c r="F9" t="s">
        <v>32</v>
      </c>
      <c r="G9" t="s">
        <v>32</v>
      </c>
      <c r="H9" t="s">
        <v>32</v>
      </c>
      <c r="I9" t="s">
        <v>32</v>
      </c>
      <c r="J9" t="s">
        <v>32</v>
      </c>
      <c r="K9" t="s">
        <v>32</v>
      </c>
    </row>
    <row r="10" spans="1:11" ht="15.75" hidden="1" x14ac:dyDescent="0.25">
      <c r="A10" s="3" t="s">
        <v>33</v>
      </c>
      <c r="B10" t="s">
        <v>34</v>
      </c>
      <c r="C10" t="s">
        <v>34</v>
      </c>
      <c r="D10" t="s">
        <v>34</v>
      </c>
      <c r="E10" t="s">
        <v>34</v>
      </c>
      <c r="F10" t="s">
        <v>34</v>
      </c>
      <c r="G10" t="s">
        <v>34</v>
      </c>
      <c r="H10" t="s">
        <v>34</v>
      </c>
      <c r="I10" t="s">
        <v>34</v>
      </c>
      <c r="J10" t="s">
        <v>34</v>
      </c>
      <c r="K10" t="s">
        <v>34</v>
      </c>
    </row>
    <row r="11" spans="1:11" ht="15.75" hidden="1" x14ac:dyDescent="0.25">
      <c r="A11" s="3" t="s">
        <v>35</v>
      </c>
      <c r="B11" t="s">
        <v>36</v>
      </c>
      <c r="C11" t="s">
        <v>36</v>
      </c>
      <c r="D11" t="s">
        <v>36</v>
      </c>
      <c r="E11" t="s">
        <v>36</v>
      </c>
      <c r="F11" t="s">
        <v>36</v>
      </c>
      <c r="G11" t="s">
        <v>36</v>
      </c>
      <c r="H11" t="s">
        <v>36</v>
      </c>
      <c r="I11" t="s">
        <v>36</v>
      </c>
      <c r="J11" t="s">
        <v>36</v>
      </c>
      <c r="K11" t="s">
        <v>36</v>
      </c>
    </row>
    <row r="12" spans="1:11" s="2" customFormat="1" ht="15.75" hidden="1" x14ac:dyDescent="0.25">
      <c r="A12" s="3" t="s">
        <v>37</v>
      </c>
      <c r="B12" t="s">
        <v>38</v>
      </c>
      <c r="C12" t="s">
        <v>38</v>
      </c>
      <c r="D12" t="s">
        <v>38</v>
      </c>
      <c r="E12" t="s">
        <v>38</v>
      </c>
      <c r="F12" t="s">
        <v>38</v>
      </c>
      <c r="G12" t="s">
        <v>38</v>
      </c>
      <c r="H12" t="s">
        <v>38</v>
      </c>
      <c r="I12" t="s">
        <v>38</v>
      </c>
      <c r="J12" t="s">
        <v>38</v>
      </c>
      <c r="K12" t="s">
        <v>38</v>
      </c>
    </row>
    <row r="13" spans="1:11" ht="30" x14ac:dyDescent="0.25">
      <c r="A13" s="7" t="s">
        <v>39</v>
      </c>
      <c r="B13" s="2" t="s">
        <v>243</v>
      </c>
      <c r="C13" s="2" t="s">
        <v>244</v>
      </c>
      <c r="D13" s="2" t="s">
        <v>245</v>
      </c>
      <c r="E13" s="2" t="s">
        <v>246</v>
      </c>
      <c r="F13" s="2" t="s">
        <v>247</v>
      </c>
      <c r="G13" s="2" t="s">
        <v>248</v>
      </c>
      <c r="H13" s="64" t="s">
        <v>249</v>
      </c>
      <c r="I13" s="64" t="s">
        <v>250</v>
      </c>
      <c r="J13" s="2" t="s">
        <v>251</v>
      </c>
      <c r="K13" s="2" t="s">
        <v>252</v>
      </c>
    </row>
    <row r="14" spans="1:11" s="1" customFormat="1" ht="15.75" x14ac:dyDescent="0.25">
      <c r="A14" s="3" t="s">
        <v>50</v>
      </c>
      <c r="B14" t="s">
        <v>56</v>
      </c>
      <c r="C14" t="s">
        <v>253</v>
      </c>
      <c r="D14" t="s">
        <v>254</v>
      </c>
      <c r="E14" t="s">
        <v>255</v>
      </c>
      <c r="F14" t="s">
        <v>256</v>
      </c>
      <c r="G14" t="s">
        <v>257</v>
      </c>
      <c r="H14" t="s">
        <v>258</v>
      </c>
      <c r="I14" t="s">
        <v>56</v>
      </c>
      <c r="J14" t="s">
        <v>259</v>
      </c>
      <c r="K14" t="s">
        <v>260</v>
      </c>
    </row>
    <row r="15" spans="1:11" s="21" customFormat="1" ht="15.75" x14ac:dyDescent="0.25">
      <c r="A15" s="22" t="s">
        <v>59</v>
      </c>
      <c r="B15" s="1" t="s">
        <v>261</v>
      </c>
      <c r="C15" s="1" t="s">
        <v>262</v>
      </c>
      <c r="D15" s="1" t="s">
        <v>263</v>
      </c>
      <c r="E15" s="1" t="s">
        <v>264</v>
      </c>
      <c r="F15" s="1" t="s">
        <v>265</v>
      </c>
      <c r="G15" s="1" t="s">
        <v>266</v>
      </c>
      <c r="H15" s="1" t="s">
        <v>267</v>
      </c>
      <c r="I15" s="1" t="s">
        <v>268</v>
      </c>
      <c r="J15" s="1" t="s">
        <v>269</v>
      </c>
      <c r="K15" s="1">
        <v>8095798888</v>
      </c>
    </row>
    <row r="16" spans="1:11" ht="15.75" x14ac:dyDescent="0.25">
      <c r="A16" s="23" t="s">
        <v>69</v>
      </c>
      <c r="B16" s="21">
        <v>8499189969</v>
      </c>
      <c r="C16" s="21">
        <v>8492128908</v>
      </c>
      <c r="D16" s="21">
        <v>8292804276</v>
      </c>
      <c r="E16" s="21">
        <v>8295055200</v>
      </c>
      <c r="F16" s="21" t="s">
        <v>270</v>
      </c>
      <c r="G16" s="21">
        <v>8296749150</v>
      </c>
      <c r="H16" s="21" t="s">
        <v>271</v>
      </c>
      <c r="I16" s="21">
        <v>8096647193</v>
      </c>
      <c r="J16" s="21">
        <v>8099071154</v>
      </c>
      <c r="K16" s="21">
        <v>8292526434</v>
      </c>
    </row>
    <row r="17" spans="1:11" s="2" customFormat="1" ht="15.75" x14ac:dyDescent="0.25">
      <c r="A17" s="3" t="s">
        <v>71</v>
      </c>
      <c r="B17" t="s">
        <v>272</v>
      </c>
      <c r="C17" t="s">
        <v>273</v>
      </c>
      <c r="D17" t="s">
        <v>274</v>
      </c>
      <c r="E17" t="s">
        <v>275</v>
      </c>
      <c r="F17" t="s">
        <v>276</v>
      </c>
      <c r="G17" t="s">
        <v>277</v>
      </c>
      <c r="H17" t="s">
        <v>278</v>
      </c>
      <c r="I17" t="s">
        <v>279</v>
      </c>
      <c r="J17" t="s">
        <v>280</v>
      </c>
      <c r="K17" t="s">
        <v>281</v>
      </c>
    </row>
    <row r="18" spans="1:11" ht="30" x14ac:dyDescent="0.25">
      <c r="A18" s="7" t="s">
        <v>81</v>
      </c>
      <c r="B18" s="2" t="s">
        <v>282</v>
      </c>
      <c r="C18" s="2" t="s">
        <v>283</v>
      </c>
      <c r="D18" s="2" t="s">
        <v>284</v>
      </c>
      <c r="E18" s="2" t="s">
        <v>285</v>
      </c>
      <c r="F18" s="2" t="s">
        <v>286</v>
      </c>
      <c r="G18" s="2" t="s">
        <v>287</v>
      </c>
      <c r="H18" s="2" t="s">
        <v>288</v>
      </c>
      <c r="I18" s="2" t="s">
        <v>289</v>
      </c>
      <c r="J18" s="2" t="s">
        <v>290</v>
      </c>
      <c r="K18" s="2" t="s">
        <v>291</v>
      </c>
    </row>
    <row r="19" spans="1:11" ht="15.75" x14ac:dyDescent="0.25">
      <c r="A19" s="3" t="s">
        <v>91</v>
      </c>
      <c r="B19" t="s">
        <v>104</v>
      </c>
      <c r="C19" t="s">
        <v>92</v>
      </c>
      <c r="D19" t="s">
        <v>292</v>
      </c>
      <c r="E19" t="s">
        <v>92</v>
      </c>
      <c r="F19" t="s">
        <v>293</v>
      </c>
      <c r="G19" t="s">
        <v>294</v>
      </c>
      <c r="H19" t="s">
        <v>295</v>
      </c>
      <c r="I19" t="s">
        <v>92</v>
      </c>
      <c r="J19" t="s">
        <v>104</v>
      </c>
      <c r="K19" t="s">
        <v>99</v>
      </c>
    </row>
    <row r="20" spans="1:11" ht="15.75" x14ac:dyDescent="0.25">
      <c r="A20" s="3" t="s">
        <v>98</v>
      </c>
      <c r="B20" t="s">
        <v>99</v>
      </c>
      <c r="C20" t="s">
        <v>296</v>
      </c>
      <c r="D20" t="s">
        <v>297</v>
      </c>
      <c r="E20" t="s">
        <v>104</v>
      </c>
      <c r="F20" t="s">
        <v>298</v>
      </c>
      <c r="G20" t="s">
        <v>104</v>
      </c>
      <c r="H20" t="s">
        <v>299</v>
      </c>
      <c r="I20" t="s">
        <v>99</v>
      </c>
      <c r="J20" t="s">
        <v>99</v>
      </c>
      <c r="K20" t="s">
        <v>99</v>
      </c>
    </row>
    <row r="21" spans="1:11" s="13" customFormat="1" ht="15.75" x14ac:dyDescent="0.25">
      <c r="A21" s="3" t="s">
        <v>110</v>
      </c>
      <c r="B21" t="s">
        <v>111</v>
      </c>
      <c r="C21" t="s">
        <v>111</v>
      </c>
      <c r="D21" t="s">
        <v>111</v>
      </c>
      <c r="E21" t="s">
        <v>112</v>
      </c>
      <c r="F21" t="s">
        <v>111</v>
      </c>
      <c r="G21" t="s">
        <v>111</v>
      </c>
      <c r="H21" t="s">
        <v>111</v>
      </c>
      <c r="I21" t="s">
        <v>111</v>
      </c>
      <c r="J21" t="s">
        <v>111</v>
      </c>
      <c r="K21" t="s">
        <v>111</v>
      </c>
    </row>
    <row r="22" spans="1:11" ht="60" x14ac:dyDescent="0.25">
      <c r="A22" s="24" t="s">
        <v>123</v>
      </c>
      <c r="B22" s="13" t="s">
        <v>300</v>
      </c>
      <c r="C22" s="13" t="s">
        <v>301</v>
      </c>
      <c r="D22" s="13" t="s">
        <v>301</v>
      </c>
      <c r="E22" s="13" t="s">
        <v>302</v>
      </c>
      <c r="F22" s="13" t="s">
        <v>303</v>
      </c>
      <c r="G22" s="13" t="s">
        <v>304</v>
      </c>
      <c r="H22" s="13" t="s">
        <v>305</v>
      </c>
      <c r="I22" s="13" t="s">
        <v>306</v>
      </c>
      <c r="J22" s="13" t="s">
        <v>307</v>
      </c>
      <c r="K22" s="13" t="s">
        <v>308</v>
      </c>
    </row>
    <row r="23" spans="1:11" ht="15.75" x14ac:dyDescent="0.25">
      <c r="A23" s="3" t="s">
        <v>133</v>
      </c>
    </row>
    <row r="24" spans="1:11" s="17" customFormat="1" ht="15.75" x14ac:dyDescent="0.25">
      <c r="A24" s="16" t="s">
        <v>140</v>
      </c>
      <c r="B24" s="26" t="str">
        <f t="shared" ref="B24:K24" ca="1" si="0">IF(B25=TODAY(),
"",
IF(B25&gt;TODAY(),
"",
""))</f>
        <v/>
      </c>
      <c r="C24" s="27" t="str">
        <f t="shared" ca="1" si="0"/>
        <v/>
      </c>
      <c r="D24" s="27" t="str">
        <f t="shared" ca="1" si="0"/>
        <v/>
      </c>
      <c r="E24" s="27" t="str">
        <f t="shared" ca="1" si="0"/>
        <v/>
      </c>
      <c r="F24" s="27" t="str">
        <f t="shared" ca="1" si="0"/>
        <v/>
      </c>
      <c r="G24" s="27" t="str">
        <f t="shared" ca="1" si="0"/>
        <v/>
      </c>
      <c r="H24" s="27" t="str">
        <f t="shared" ca="1" si="0"/>
        <v/>
      </c>
      <c r="I24" s="27" t="str">
        <f t="shared" ca="1" si="0"/>
        <v/>
      </c>
      <c r="J24" s="27" t="str">
        <f t="shared" ca="1" si="0"/>
        <v/>
      </c>
      <c r="K24" s="27" t="str">
        <f t="shared" ca="1" si="0"/>
        <v/>
      </c>
    </row>
    <row r="25" spans="1:11" x14ac:dyDescent="0.25">
      <c r="A25" s="34"/>
      <c r="B25" s="28"/>
    </row>
    <row r="26" spans="1:11" ht="15.75" x14ac:dyDescent="0.25">
      <c r="A26" s="3" t="s">
        <v>141</v>
      </c>
      <c r="B26" s="2" t="str">
        <f t="shared" ref="B26:I26" ca="1" si="1">IF(B27=TODAY(),
"",
IF(B27&gt;TODAY(),
"",
""))</f>
        <v/>
      </c>
      <c r="C26" s="25" t="str">
        <f t="shared" ca="1" si="1"/>
        <v/>
      </c>
      <c r="D26" s="8" t="str">
        <f t="shared" ca="1" si="1"/>
        <v/>
      </c>
      <c r="E26" s="8" t="str">
        <f t="shared" ca="1" si="1"/>
        <v/>
      </c>
      <c r="F26" s="8" t="str">
        <f t="shared" ca="1" si="1"/>
        <v/>
      </c>
      <c r="G26" s="8" t="str">
        <f t="shared" ca="1" si="1"/>
        <v/>
      </c>
      <c r="H26" s="8" t="str">
        <f t="shared" ca="1" si="1"/>
        <v/>
      </c>
      <c r="I26" s="8" t="str">
        <f t="shared" ca="1" si="1"/>
        <v/>
      </c>
      <c r="J26" s="8" t="str">
        <f ca="1">IF(J27=TODAY(),
"notificacion",
IF(J27&gt;TODAY(),
"",
""))</f>
        <v/>
      </c>
    </row>
    <row r="27" spans="1:11" x14ac:dyDescent="0.25">
      <c r="A27" s="34"/>
    </row>
    <row r="28" spans="1:11" ht="15.75" x14ac:dyDescent="0.25">
      <c r="A28" s="3" t="s">
        <v>142</v>
      </c>
      <c r="B28" s="2" t="str">
        <f t="shared" ref="B28:I28" ca="1" si="2">IF(B29=TODAY(),
"",
IF(B29&gt;TODAY(),
"",
""))</f>
        <v/>
      </c>
      <c r="C28" s="25" t="str">
        <f t="shared" ca="1" si="2"/>
        <v/>
      </c>
      <c r="D28" s="8" t="str">
        <f t="shared" ca="1" si="2"/>
        <v/>
      </c>
      <c r="E28" s="8" t="str">
        <f t="shared" ca="1" si="2"/>
        <v/>
      </c>
      <c r="F28" s="8" t="str">
        <f t="shared" ca="1" si="2"/>
        <v/>
      </c>
      <c r="G28" s="8" t="str">
        <f t="shared" ca="1" si="2"/>
        <v/>
      </c>
      <c r="H28" s="8" t="str">
        <f t="shared" ca="1" si="2"/>
        <v/>
      </c>
      <c r="I28" s="8" t="str">
        <f t="shared" ca="1" si="2"/>
        <v/>
      </c>
      <c r="J28" s="8" t="str">
        <f ca="1">IF(J29=TODAY(),
"notificacion",
IF(J29&gt;TODAY(),
"",
""))</f>
        <v/>
      </c>
    </row>
    <row r="29" spans="1:11" ht="15.75" x14ac:dyDescent="0.25">
      <c r="A29" s="3"/>
      <c r="B29" s="28"/>
    </row>
  </sheetData>
  <conditionalFormatting sqref="B28:J28">
    <cfRule type="containsText" dxfId="12" priority="1" operator="containsText" text="caducada">
      <formula>NOT(ISERROR(SEARCH("caducada",B28)))</formula>
    </cfRule>
    <cfRule type="containsText" dxfId="11" priority="2" operator="containsText" text="notificacion">
      <formula>NOT(ISERROR(SEARCH("notificacion",B28)))</formula>
    </cfRule>
  </conditionalFormatting>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29"/>
  <sheetViews>
    <sheetView topLeftCell="A13" workbookViewId="0">
      <pane xSplit="1" topLeftCell="G1" activePane="topRight" state="frozen"/>
      <selection activeCell="A13" sqref="A13"/>
      <selection pane="topRight" activeCell="K18" sqref="K18"/>
    </sheetView>
  </sheetViews>
  <sheetFormatPr baseColWidth="10" defaultColWidth="11.42578125" defaultRowHeight="15" x14ac:dyDescent="0.25"/>
  <cols>
    <col min="1" max="1" width="22.28515625" customWidth="1"/>
    <col min="2" max="11" width="29.28515625" customWidth="1"/>
  </cols>
  <sheetData>
    <row r="1" spans="1:11" hidden="1" x14ac:dyDescent="0.25">
      <c r="A1" t="s">
        <v>10</v>
      </c>
      <c r="B1" t="s">
        <v>11</v>
      </c>
      <c r="C1" t="s">
        <v>12</v>
      </c>
      <c r="D1" t="s">
        <v>13</v>
      </c>
      <c r="E1" t="s">
        <v>14</v>
      </c>
      <c r="F1" t="s">
        <v>15</v>
      </c>
      <c r="G1" t="s">
        <v>16</v>
      </c>
      <c r="H1" t="s">
        <v>17</v>
      </c>
      <c r="I1" t="s">
        <v>18</v>
      </c>
      <c r="J1" t="s">
        <v>19</v>
      </c>
    </row>
    <row r="2" spans="1:11" hidden="1" x14ac:dyDescent="0.25">
      <c r="A2" t="s">
        <v>0</v>
      </c>
      <c r="B2" t="s">
        <v>309</v>
      </c>
      <c r="C2" t="s">
        <v>310</v>
      </c>
      <c r="D2" t="s">
        <v>311</v>
      </c>
      <c r="E2" t="s">
        <v>312</v>
      </c>
      <c r="F2" t="s">
        <v>313</v>
      </c>
      <c r="G2" t="s">
        <v>314</v>
      </c>
      <c r="H2" t="s">
        <v>315</v>
      </c>
      <c r="I2" t="s">
        <v>316</v>
      </c>
      <c r="J2" t="s">
        <v>317</v>
      </c>
    </row>
    <row r="3" spans="1:11" hidden="1" x14ac:dyDescent="0.25">
      <c r="A3" t="s">
        <v>152</v>
      </c>
      <c r="B3" t="s">
        <v>318</v>
      </c>
      <c r="C3" t="s">
        <v>319</v>
      </c>
      <c r="D3" t="s">
        <v>320</v>
      </c>
      <c r="E3" t="s">
        <v>321</v>
      </c>
      <c r="F3" t="s">
        <v>322</v>
      </c>
      <c r="G3" t="s">
        <v>323</v>
      </c>
      <c r="H3" t="s">
        <v>324</v>
      </c>
      <c r="I3" t="s">
        <v>325</v>
      </c>
      <c r="J3" t="s">
        <v>326</v>
      </c>
    </row>
    <row r="4" spans="1:11" hidden="1" x14ac:dyDescent="0.25">
      <c r="A4" t="s">
        <v>21</v>
      </c>
      <c r="B4" t="s">
        <v>22</v>
      </c>
      <c r="C4" t="s">
        <v>22</v>
      </c>
      <c r="D4" t="s">
        <v>22</v>
      </c>
      <c r="E4" t="s">
        <v>22</v>
      </c>
      <c r="F4" t="s">
        <v>22</v>
      </c>
      <c r="G4" t="s">
        <v>22</v>
      </c>
      <c r="H4" t="s">
        <v>22</v>
      </c>
      <c r="I4" t="s">
        <v>22</v>
      </c>
      <c r="J4" t="s">
        <v>22</v>
      </c>
      <c r="K4" s="39"/>
    </row>
    <row r="5" spans="1:11" ht="30" hidden="1" x14ac:dyDescent="0.25">
      <c r="A5" s="37" t="s">
        <v>23</v>
      </c>
      <c r="B5" s="39" t="s">
        <v>24</v>
      </c>
      <c r="C5" s="39" t="s">
        <v>24</v>
      </c>
      <c r="D5" s="39" t="s">
        <v>24</v>
      </c>
      <c r="E5" s="39" t="s">
        <v>24</v>
      </c>
      <c r="F5" s="39" t="s">
        <v>24</v>
      </c>
      <c r="G5" s="39" t="s">
        <v>24</v>
      </c>
      <c r="H5" s="39" t="s">
        <v>24</v>
      </c>
      <c r="I5" s="39" t="s">
        <v>24</v>
      </c>
      <c r="J5" s="39" t="s">
        <v>24</v>
      </c>
      <c r="K5" s="44"/>
    </row>
    <row r="6" spans="1:11" ht="15.75" hidden="1" x14ac:dyDescent="0.25">
      <c r="A6" s="42" t="s">
        <v>25</v>
      </c>
      <c r="B6" s="44" t="s">
        <v>26</v>
      </c>
      <c r="C6" s="44" t="s">
        <v>26</v>
      </c>
      <c r="D6" s="44" t="s">
        <v>26</v>
      </c>
      <c r="E6" s="44" t="s">
        <v>26</v>
      </c>
      <c r="F6" s="44" t="s">
        <v>26</v>
      </c>
      <c r="G6" s="44" t="s">
        <v>26</v>
      </c>
      <c r="H6" s="44" t="s">
        <v>26</v>
      </c>
      <c r="I6" s="44" t="s">
        <v>26</v>
      </c>
      <c r="J6" s="44" t="s">
        <v>26</v>
      </c>
      <c r="K6" s="45"/>
    </row>
    <row r="7" spans="1:11" ht="15.75" hidden="1" x14ac:dyDescent="0.25">
      <c r="A7" s="46" t="s">
        <v>27</v>
      </c>
      <c r="B7" s="45" t="s">
        <v>28</v>
      </c>
      <c r="C7" s="45" t="s">
        <v>28</v>
      </c>
      <c r="D7" s="45" t="s">
        <v>28</v>
      </c>
      <c r="E7" s="45" t="s">
        <v>28</v>
      </c>
      <c r="F7" s="45" t="s">
        <v>28</v>
      </c>
      <c r="G7" s="45" t="s">
        <v>28</v>
      </c>
      <c r="H7" s="45" t="s">
        <v>28</v>
      </c>
      <c r="I7" s="45" t="s">
        <v>28</v>
      </c>
      <c r="J7" s="45" t="s">
        <v>28</v>
      </c>
      <c r="K7" s="48"/>
    </row>
    <row r="8" spans="1:11" ht="15.75" hidden="1" x14ac:dyDescent="0.25">
      <c r="A8" s="47" t="s">
        <v>29</v>
      </c>
      <c r="B8" s="48" t="s">
        <v>30</v>
      </c>
      <c r="C8" s="48" t="s">
        <v>30</v>
      </c>
      <c r="D8" s="48" t="s">
        <v>30</v>
      </c>
      <c r="E8" s="48" t="s">
        <v>30</v>
      </c>
      <c r="F8" s="48" t="s">
        <v>30</v>
      </c>
      <c r="G8" s="48" t="s">
        <v>30</v>
      </c>
      <c r="H8" s="48" t="s">
        <v>30</v>
      </c>
      <c r="I8" s="48" t="s">
        <v>30</v>
      </c>
      <c r="J8" s="48" t="s">
        <v>30</v>
      </c>
      <c r="K8" s="43"/>
    </row>
    <row r="9" spans="1:11" ht="15.75" hidden="1" x14ac:dyDescent="0.25">
      <c r="A9" s="42" t="s">
        <v>31</v>
      </c>
      <c r="B9" s="43" t="s">
        <v>32</v>
      </c>
      <c r="C9" s="43" t="s">
        <v>32</v>
      </c>
      <c r="D9" s="43" t="s">
        <v>32</v>
      </c>
      <c r="E9" s="43" t="s">
        <v>32</v>
      </c>
      <c r="F9" s="43" t="s">
        <v>32</v>
      </c>
      <c r="G9" s="43" t="s">
        <v>32</v>
      </c>
      <c r="H9" s="43" t="s">
        <v>32</v>
      </c>
      <c r="I9" s="43" t="s">
        <v>32</v>
      </c>
      <c r="J9" s="43" t="s">
        <v>32</v>
      </c>
      <c r="K9" s="38"/>
    </row>
    <row r="10" spans="1:11" ht="15.75" hidden="1" x14ac:dyDescent="0.25">
      <c r="A10" s="37" t="s">
        <v>33</v>
      </c>
      <c r="B10" s="38" t="s">
        <v>34</v>
      </c>
      <c r="C10" s="38" t="s">
        <v>34</v>
      </c>
      <c r="D10" s="38" t="s">
        <v>34</v>
      </c>
      <c r="E10" s="38" t="s">
        <v>34</v>
      </c>
      <c r="F10" s="38" t="s">
        <v>34</v>
      </c>
      <c r="G10" s="38" t="s">
        <v>34</v>
      </c>
      <c r="H10" s="38" t="s">
        <v>34</v>
      </c>
      <c r="I10" s="38" t="s">
        <v>34</v>
      </c>
      <c r="J10" s="38" t="s">
        <v>34</v>
      </c>
      <c r="K10" s="43"/>
    </row>
    <row r="11" spans="1:11" ht="15.75" hidden="1" x14ac:dyDescent="0.25">
      <c r="A11" s="42" t="s">
        <v>35</v>
      </c>
      <c r="B11" s="43" t="s">
        <v>36</v>
      </c>
      <c r="C11" s="43" t="s">
        <v>36</v>
      </c>
      <c r="D11" s="43" t="s">
        <v>36</v>
      </c>
      <c r="E11" s="43" t="s">
        <v>36</v>
      </c>
      <c r="F11" s="43" t="s">
        <v>36</v>
      </c>
      <c r="G11" s="43" t="s">
        <v>36</v>
      </c>
      <c r="H11" s="43" t="s">
        <v>36</v>
      </c>
      <c r="I11" s="43" t="s">
        <v>36</v>
      </c>
      <c r="J11" s="43" t="s">
        <v>36</v>
      </c>
      <c r="K11" s="44"/>
    </row>
    <row r="12" spans="1:11" s="35" customFormat="1" ht="15.75" hidden="1" x14ac:dyDescent="0.25">
      <c r="A12" s="42" t="s">
        <v>37</v>
      </c>
      <c r="B12" s="44" t="s">
        <v>38</v>
      </c>
      <c r="C12" s="44" t="s">
        <v>38</v>
      </c>
      <c r="D12" s="44" t="s">
        <v>38</v>
      </c>
      <c r="E12" s="44" t="s">
        <v>38</v>
      </c>
      <c r="F12" s="44" t="s">
        <v>38</v>
      </c>
      <c r="G12" s="44" t="s">
        <v>38</v>
      </c>
      <c r="H12" s="44" t="s">
        <v>38</v>
      </c>
      <c r="I12" s="44" t="s">
        <v>38</v>
      </c>
      <c r="J12" s="44" t="s">
        <v>38</v>
      </c>
      <c r="K12" s="41"/>
    </row>
    <row r="13" spans="1:11" s="35" customFormat="1" ht="15.75" x14ac:dyDescent="0.25">
      <c r="A13" s="53" t="s">
        <v>39</v>
      </c>
      <c r="B13" s="38" t="s">
        <v>327</v>
      </c>
      <c r="C13" s="41" t="s">
        <v>328</v>
      </c>
      <c r="D13" s="41" t="s">
        <v>329</v>
      </c>
      <c r="E13" s="41" t="s">
        <v>330</v>
      </c>
      <c r="F13" s="65" t="s">
        <v>331</v>
      </c>
      <c r="G13" s="41" t="s">
        <v>332</v>
      </c>
      <c r="H13" s="65" t="s">
        <v>333</v>
      </c>
      <c r="I13" s="41" t="s">
        <v>334</v>
      </c>
      <c r="J13" s="41" t="s">
        <v>335</v>
      </c>
    </row>
    <row r="14" spans="1:11" ht="15.75" x14ac:dyDescent="0.25">
      <c r="A14" s="53" t="s">
        <v>50</v>
      </c>
      <c r="B14" s="35" t="s">
        <v>336</v>
      </c>
      <c r="C14" s="35" t="s">
        <v>337</v>
      </c>
      <c r="D14" s="35" t="s">
        <v>338</v>
      </c>
      <c r="E14" s="35" t="s">
        <v>339</v>
      </c>
      <c r="F14" s="35" t="s">
        <v>340</v>
      </c>
      <c r="G14" s="35" t="s">
        <v>341</v>
      </c>
      <c r="H14" s="35" t="s">
        <v>56</v>
      </c>
      <c r="I14" s="35" t="s">
        <v>342</v>
      </c>
      <c r="J14" s="35" t="s">
        <v>335</v>
      </c>
      <c r="K14" s="60"/>
    </row>
    <row r="15" spans="1:11" s="1" customFormat="1" ht="15.75" x14ac:dyDescent="0.25">
      <c r="A15" s="42" t="s">
        <v>59</v>
      </c>
      <c r="B15" s="52" t="s">
        <v>343</v>
      </c>
      <c r="C15" s="43" t="s">
        <v>344</v>
      </c>
      <c r="D15" s="43" t="s">
        <v>345</v>
      </c>
      <c r="E15" s="43">
        <v>8094714000</v>
      </c>
      <c r="F15" s="43" t="s">
        <v>346</v>
      </c>
      <c r="G15" s="43" t="s">
        <v>347</v>
      </c>
      <c r="H15" s="43" t="s">
        <v>348</v>
      </c>
      <c r="I15" s="43">
        <v>8092956555</v>
      </c>
      <c r="J15" s="43" t="s">
        <v>349</v>
      </c>
      <c r="K15" s="58"/>
    </row>
    <row r="16" spans="1:11" ht="15.75" x14ac:dyDescent="0.25">
      <c r="A16" s="46" t="s">
        <v>69</v>
      </c>
      <c r="B16" s="58" t="s">
        <v>350</v>
      </c>
      <c r="C16" s="58">
        <v>8096058341</v>
      </c>
      <c r="D16" s="58">
        <v>8099315785</v>
      </c>
      <c r="E16" s="58">
        <v>8299275266</v>
      </c>
      <c r="F16" s="58" t="s">
        <v>351</v>
      </c>
      <c r="G16" s="58">
        <v>8298695917</v>
      </c>
      <c r="H16" s="58">
        <v>8092121537</v>
      </c>
      <c r="I16" s="58">
        <v>8095176335</v>
      </c>
      <c r="J16" s="58">
        <v>8097276478</v>
      </c>
      <c r="K16" s="60"/>
    </row>
    <row r="17" spans="1:11" s="13" customFormat="1" ht="15.75" x14ac:dyDescent="0.25">
      <c r="A17" s="51" t="s">
        <v>71</v>
      </c>
      <c r="B17" s="52" t="s">
        <v>352</v>
      </c>
      <c r="C17" s="43" t="s">
        <v>353</v>
      </c>
      <c r="D17" s="43" t="s">
        <v>354</v>
      </c>
      <c r="E17" s="43" t="s">
        <v>355</v>
      </c>
      <c r="F17" s="43" t="s">
        <v>356</v>
      </c>
      <c r="G17" s="43" t="s">
        <v>357</v>
      </c>
      <c r="H17" s="43" t="s">
        <v>358</v>
      </c>
      <c r="I17" s="43" t="s">
        <v>359</v>
      </c>
      <c r="J17" s="43" t="s">
        <v>360</v>
      </c>
      <c r="K17" s="61"/>
    </row>
    <row r="18" spans="1:11" ht="30" x14ac:dyDescent="0.25">
      <c r="A18" s="49" t="s">
        <v>81</v>
      </c>
      <c r="B18" s="50" t="s">
        <v>361</v>
      </c>
      <c r="C18" s="54" t="s">
        <v>362</v>
      </c>
      <c r="D18" s="55" t="s">
        <v>363</v>
      </c>
      <c r="E18" s="55" t="s">
        <v>364</v>
      </c>
      <c r="F18" s="55" t="s">
        <v>365</v>
      </c>
      <c r="G18" s="55" t="s">
        <v>366</v>
      </c>
      <c r="H18" s="55" t="s">
        <v>367</v>
      </c>
      <c r="I18" s="55" t="s">
        <v>368</v>
      </c>
      <c r="J18" s="55" t="s">
        <v>369</v>
      </c>
      <c r="K18" s="60"/>
    </row>
    <row r="19" spans="1:11" ht="15.75" x14ac:dyDescent="0.25">
      <c r="A19" s="51" t="s">
        <v>91</v>
      </c>
      <c r="B19" s="43" t="s">
        <v>92</v>
      </c>
      <c r="C19" s="43" t="s">
        <v>92</v>
      </c>
      <c r="D19" s="43" t="s">
        <v>370</v>
      </c>
      <c r="E19" s="43" t="s">
        <v>104</v>
      </c>
      <c r="F19" s="43" t="s">
        <v>371</v>
      </c>
      <c r="G19" s="43" t="s">
        <v>372</v>
      </c>
      <c r="H19" s="43" t="s">
        <v>93</v>
      </c>
      <c r="I19" s="43" t="s">
        <v>92</v>
      </c>
      <c r="J19" s="43" t="s">
        <v>373</v>
      </c>
      <c r="K19" s="62"/>
    </row>
    <row r="20" spans="1:11" ht="15.75" x14ac:dyDescent="0.25">
      <c r="A20" s="42" t="s">
        <v>98</v>
      </c>
      <c r="B20" s="38" t="s">
        <v>99</v>
      </c>
      <c r="C20" s="40" t="s">
        <v>99</v>
      </c>
      <c r="D20" s="41" t="s">
        <v>363</v>
      </c>
      <c r="E20" s="41" t="s">
        <v>99</v>
      </c>
      <c r="F20" s="41" t="s">
        <v>374</v>
      </c>
      <c r="G20" s="41" t="s">
        <v>375</v>
      </c>
      <c r="H20" s="41" t="s">
        <v>100</v>
      </c>
      <c r="I20" s="41" t="s">
        <v>104</v>
      </c>
      <c r="J20" s="41" t="s">
        <v>92</v>
      </c>
      <c r="K20" s="61"/>
    </row>
    <row r="21" spans="1:11" s="13" customFormat="1" ht="15.75" x14ac:dyDescent="0.25">
      <c r="A21" s="49" t="s">
        <v>110</v>
      </c>
      <c r="B21" s="50" t="s">
        <v>111</v>
      </c>
      <c r="C21" s="50" t="s">
        <v>112</v>
      </c>
      <c r="D21" s="50" t="s">
        <v>111</v>
      </c>
      <c r="E21" s="50" t="s">
        <v>111</v>
      </c>
      <c r="F21" s="50" t="s">
        <v>111</v>
      </c>
      <c r="G21" s="50" t="s">
        <v>111</v>
      </c>
      <c r="H21" s="50" t="s">
        <v>111</v>
      </c>
      <c r="I21" s="50" t="s">
        <v>111</v>
      </c>
      <c r="J21" s="50" t="s">
        <v>111</v>
      </c>
      <c r="K21" s="59"/>
    </row>
    <row r="22" spans="1:11" ht="60" x14ac:dyDescent="0.25">
      <c r="A22" s="49" t="s">
        <v>123</v>
      </c>
      <c r="B22" s="59" t="s">
        <v>376</v>
      </c>
      <c r="C22" s="59" t="s">
        <v>377</v>
      </c>
      <c r="D22" s="59" t="s">
        <v>204</v>
      </c>
      <c r="E22" s="59" t="s">
        <v>378</v>
      </c>
      <c r="F22" s="59" t="s">
        <v>379</v>
      </c>
      <c r="G22" s="59" t="s">
        <v>380</v>
      </c>
      <c r="H22" s="59" t="s">
        <v>381</v>
      </c>
      <c r="I22" s="59" t="s">
        <v>382</v>
      </c>
      <c r="J22" s="59" t="s">
        <v>126</v>
      </c>
    </row>
    <row r="23" spans="1:11" ht="15.75" x14ac:dyDescent="0.25">
      <c r="A23" s="56" t="s">
        <v>133</v>
      </c>
    </row>
    <row r="24" spans="1:11" ht="15.75" x14ac:dyDescent="0.25">
      <c r="A24" s="56" t="s">
        <v>140</v>
      </c>
      <c r="B24" s="2" t="str">
        <f t="shared" ref="B24:I24" ca="1" si="0">IF(B25=TODAY(),
"",
IF(B25&gt;TODAY(),
"",
""))</f>
        <v/>
      </c>
      <c r="C24" s="25" t="str">
        <f t="shared" ca="1" si="0"/>
        <v/>
      </c>
      <c r="D24" s="8" t="str">
        <f t="shared" ca="1" si="0"/>
        <v/>
      </c>
      <c r="E24" s="8" t="str">
        <f t="shared" ca="1" si="0"/>
        <v/>
      </c>
      <c r="F24" s="8" t="str">
        <f t="shared" ca="1" si="0"/>
        <v/>
      </c>
      <c r="G24" s="8" t="str">
        <f t="shared" ca="1" si="0"/>
        <v/>
      </c>
      <c r="H24" s="8" t="str">
        <f t="shared" ca="1" si="0"/>
        <v/>
      </c>
      <c r="I24" s="8" t="str">
        <f t="shared" ca="1" si="0"/>
        <v/>
      </c>
      <c r="J24" s="8" t="str">
        <f ca="1">IF(J25=TODAY(),
"notificacion",
IF(J25&gt;TODAY(),
"",
""))</f>
        <v/>
      </c>
    </row>
    <row r="25" spans="1:11" ht="15.75" x14ac:dyDescent="0.25">
      <c r="A25" s="49"/>
    </row>
    <row r="26" spans="1:11" ht="15.75" x14ac:dyDescent="0.25">
      <c r="A26" s="57" t="s">
        <v>141</v>
      </c>
      <c r="B26" s="2" t="str">
        <f t="shared" ref="B26:I26" ca="1" si="1">IF(B27=TODAY(),
"",
IF(B27&gt;TODAY(),
"",
""))</f>
        <v/>
      </c>
      <c r="C26" s="25" t="str">
        <f t="shared" ca="1" si="1"/>
        <v/>
      </c>
      <c r="D26" s="8" t="str">
        <f t="shared" ca="1" si="1"/>
        <v/>
      </c>
      <c r="E26" s="8" t="str">
        <f t="shared" ca="1" si="1"/>
        <v/>
      </c>
      <c r="F26" s="8" t="str">
        <f t="shared" ca="1" si="1"/>
        <v/>
      </c>
      <c r="G26" s="8" t="str">
        <f t="shared" ca="1" si="1"/>
        <v/>
      </c>
      <c r="H26" s="8" t="str">
        <f t="shared" ca="1" si="1"/>
        <v/>
      </c>
      <c r="I26" s="8" t="str">
        <f t="shared" ca="1" si="1"/>
        <v/>
      </c>
      <c r="J26" s="8" t="str">
        <f ca="1">IF(J27=TODAY(),
"notificacion",
IF(J27&gt;TODAY(),
"",
""))</f>
        <v/>
      </c>
    </row>
    <row r="27" spans="1:11" x14ac:dyDescent="0.25">
      <c r="A27" s="34"/>
    </row>
    <row r="28" spans="1:11" ht="15.75" x14ac:dyDescent="0.25">
      <c r="A28" s="57" t="s">
        <v>142</v>
      </c>
      <c r="B28" s="2" t="str">
        <f t="shared" ref="B28:I28" ca="1" si="2">IF(B29=TODAY(),
"",
IF(B29&gt;TODAY(),
"",
""))</f>
        <v/>
      </c>
      <c r="C28" s="25" t="str">
        <f t="shared" ca="1" si="2"/>
        <v/>
      </c>
      <c r="D28" s="8" t="str">
        <f t="shared" ca="1" si="2"/>
        <v/>
      </c>
      <c r="E28" s="8" t="str">
        <f t="shared" ca="1" si="2"/>
        <v/>
      </c>
      <c r="F28" s="8" t="str">
        <f t="shared" ca="1" si="2"/>
        <v/>
      </c>
      <c r="G28" s="8" t="str">
        <f t="shared" ca="1" si="2"/>
        <v/>
      </c>
      <c r="H28" s="8" t="str">
        <f t="shared" ca="1" si="2"/>
        <v/>
      </c>
      <c r="I28" s="8" t="str">
        <f t="shared" ca="1" si="2"/>
        <v/>
      </c>
      <c r="J28" s="8" t="str">
        <f ca="1">IF(J29=TODAY(),
"notificacion",
IF(J29&gt;TODAY(),
"",
""))</f>
        <v/>
      </c>
    </row>
    <row r="29" spans="1:11" ht="15.75" x14ac:dyDescent="0.25">
      <c r="A29" s="57"/>
    </row>
  </sheetData>
  <conditionalFormatting sqref="K17 K19">
    <cfRule type="containsText" dxfId="9" priority="17" operator="containsText" text="caducada">
      <formula>NOT(ISERROR(SEARCH("caducada",K17)))</formula>
    </cfRule>
    <cfRule type="containsText" dxfId="8" priority="18" operator="containsText" text="notificacion">
      <formula>NOT(ISERROR(SEARCH("notificacion",K17)))</formula>
    </cfRule>
  </conditionalFormatting>
  <conditionalFormatting sqref="K24">
    <cfRule type="containsText" dxfId="7" priority="11" operator="containsText" text="caducada">
      <formula>NOT(ISERROR(SEARCH("caducada",K24)))</formula>
    </cfRule>
    <cfRule type="containsText" dxfId="6" priority="12" operator="containsText" text="notificacion">
      <formula>NOT(ISERROR(SEARCH("notificacion",K24)))</formula>
    </cfRule>
  </conditionalFormatting>
  <conditionalFormatting sqref="K26">
    <cfRule type="containsText" dxfId="5" priority="7" operator="containsText" text="caducada">
      <formula>NOT(ISERROR(SEARCH("caducada",K26)))</formula>
    </cfRule>
    <cfRule type="containsText" dxfId="4" priority="8" operator="containsText" text="notificacion">
      <formula>NOT(ISERROR(SEARCH("notificacion",K26)))</formula>
    </cfRule>
  </conditionalFormatting>
  <conditionalFormatting sqref="K28">
    <cfRule type="containsText" dxfId="3" priority="3" operator="containsText" text="caducada">
      <formula>NOT(ISERROR(SEARCH("caducada",K28)))</formula>
    </cfRule>
    <cfRule type="containsText" dxfId="2" priority="4" operator="containsText" text="notificacion">
      <formula>NOT(ISERROR(SEARCH("notificacion",K28)))</formula>
    </cfRule>
  </conditionalFormatting>
  <conditionalFormatting sqref="B24:J29">
    <cfRule type="containsText" dxfId="1" priority="1" operator="containsText" text="caducada">
      <formula>NOT(ISERROR(SEARCH("caducada",B24)))</formula>
    </cfRule>
    <cfRule type="containsText" dxfId="0" priority="16" operator="containsText" text="notificacion">
      <formula>NOT(ISERROR(SEARCH("notificacion",B24)))</formula>
    </cfRule>
  </conditionalFormatting>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4</vt:i4>
      </vt:variant>
    </vt:vector>
  </HeadingPairs>
  <TitlesOfParts>
    <vt:vector size="4" baseType="lpstr">
      <vt:lpstr>24 de Abril 2017</vt:lpstr>
      <vt:lpstr>25 de Abril 2017</vt:lpstr>
      <vt:lpstr>26 de abril 2017</vt:lpstr>
      <vt:lpstr>27 de Abril 2017</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david miguel solano minaya</dc:creator>
  <cp:keywords/>
  <dc:description/>
  <cp:lastModifiedBy>david miguel solano minaya</cp:lastModifiedBy>
  <cp:revision/>
  <dcterms:created xsi:type="dcterms:W3CDTF">2017-04-24T15:43:24Z</dcterms:created>
  <dcterms:modified xsi:type="dcterms:W3CDTF">2017-04-28T00:04:30Z</dcterms:modified>
  <cp:category/>
  <cp:contentStatus/>
</cp:coreProperties>
</file>